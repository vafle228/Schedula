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меньше на зачеты и экзамены" sheetId="2" state="visible" r:id="rId4"/>
  </sheets>
  <definedNames>
    <definedName function="false" hidden="false" localSheetId="0" name="_xlnm.Print_Titles" vbProcedure="false">Лист1!$15:$18</definedName>
    <definedName function="false" hidden="false" localSheetId="1" name="_xlnm.Print_Area" vbProcedure="false">'меньше на зачеты и экзамены'!$A$1:$AM$279</definedName>
    <definedName function="false" hidden="false" localSheetId="1" name="_xlnm.Print_Titles" vbProcedure="false">'меньше на зачеты и экзамены'!$19:$22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<sst xmlns="http://schemas.openxmlformats.org/spreadsheetml/2006/main" count="740" uniqueCount="130">
  <si>
    <t xml:space="preserve">РАСЧЕТ                                                                                                        
часов годовой учебной нагрузки профессорско-преподавательского состава кафедры специальной подготовки учебного центра на 2026-2027 учебный год</t>
  </si>
  <si>
    <t xml:space="preserve">№
п\п</t>
  </si>
  <si>
    <t xml:space="preserve">Должность,
фамилия,
инициалы</t>
  </si>
  <si>
    <t xml:space="preserve">Наименование
дисциплин</t>
  </si>
  <si>
    <t xml:space="preserve">Год  обучения</t>
  </si>
  <si>
    <t xml:space="preserve">Специальность</t>
  </si>
  <si>
    <t xml:space="preserve">Количество учебных групп</t>
  </si>
  <si>
    <t xml:space="preserve"> Количество часов</t>
  </si>
  <si>
    <t xml:space="preserve">Рук КЗ, КР</t>
  </si>
  <si>
    <t xml:space="preserve">ВСЕГО ЗА СЕМЕСТРЫ</t>
  </si>
  <si>
    <t xml:space="preserve">Рук. каф., проф. должн. подг.</t>
  </si>
  <si>
    <t xml:space="preserve">На учебном сборе, стажировке</t>
  </si>
  <si>
    <t xml:space="preserve">Всего за учебный год</t>
  </si>
  <si>
    <t xml:space="preserve">Осенний семестр</t>
  </si>
  <si>
    <t xml:space="preserve">Весенний семестр</t>
  </si>
  <si>
    <t xml:space="preserve">Лекции</t>
  </si>
  <si>
    <t xml:space="preserve">Групповые занятия</t>
  </si>
  <si>
    <t xml:space="preserve">Практические
 занятия </t>
  </si>
  <si>
    <t xml:space="preserve">Групповые
упражнения</t>
  </si>
  <si>
    <t xml:space="preserve">Семинары</t>
  </si>
  <si>
    <t xml:space="preserve">Контрольные работы</t>
  </si>
  <si>
    <t xml:space="preserve">Руководство самостоятельной работой студентов </t>
  </si>
  <si>
    <t xml:space="preserve">Тренировки*</t>
  </si>
  <si>
    <t xml:space="preserve">Консультации</t>
  </si>
  <si>
    <t xml:space="preserve">Зачеты</t>
  </si>
  <si>
    <t xml:space="preserve">Экзамены</t>
  </si>
  <si>
    <t xml:space="preserve">ИТОГО</t>
  </si>
  <si>
    <t xml:space="preserve">Тренировки</t>
  </si>
  <si>
    <t xml:space="preserve"> со группой</t>
  </si>
  <si>
    <t xml:space="preserve">с п/группой</t>
  </si>
  <si>
    <t xml:space="preserve">со группой</t>
  </si>
  <si>
    <t xml:space="preserve">Преподаватель</t>
  </si>
  <si>
    <t xml:space="preserve">Дисциплина 1</t>
  </si>
  <si>
    <t xml:space="preserve">1*</t>
  </si>
  <si>
    <t xml:space="preserve">094100</t>
  </si>
  <si>
    <t xml:space="preserve">Дисциплина 2</t>
  </si>
  <si>
    <t xml:space="preserve">2*</t>
  </si>
  <si>
    <t xml:space="preserve">Кизюн Н.Н.</t>
  </si>
  <si>
    <t xml:space="preserve">Дисциплина 3</t>
  </si>
  <si>
    <t xml:space="preserve">3*</t>
  </si>
  <si>
    <t xml:space="preserve">Дисциплина 4</t>
  </si>
  <si>
    <t xml:space="preserve">093500</t>
  </si>
  <si>
    <t xml:space="preserve">Итого:</t>
  </si>
  <si>
    <t xml:space="preserve">Итого за кафедру:</t>
  </si>
  <si>
    <t xml:space="preserve">Прим. * - год военного обучения по программе подготовки офицеров запаса</t>
  </si>
  <si>
    <t xml:space="preserve">Начальник кафедры</t>
  </si>
  <si>
    <t xml:space="preserve">завуч</t>
  </si>
  <si>
    <t xml:space="preserve">                                                                ФИО завуча</t>
  </si>
  <si>
    <t xml:space="preserve">РАСЧЕТ
часов годовой учебной нагрузки профессорско-преподавательского состава кафедры Специальной подготовки военного учебного центра на 2019-2020 учебный год</t>
  </si>
  <si>
    <t xml:space="preserve">Должность,
в\звание,
фамилия,
инициалы</t>
  </si>
  <si>
    <t xml:space="preserve">Год военного обучения</t>
  </si>
  <si>
    <t xml:space="preserve">ВУС</t>
  </si>
  <si>
    <t xml:space="preserve">Количество учебных взводов</t>
  </si>
  <si>
    <t xml:space="preserve">На учебном сборе, войсковой стажировке</t>
  </si>
  <si>
    <t xml:space="preserve"> со взводом</t>
  </si>
  <si>
    <t xml:space="preserve">с п/взводом</t>
  </si>
  <si>
    <t xml:space="preserve">со взводом</t>
  </si>
  <si>
    <t xml:space="preserve">НУЧ - ЗН УВЦ</t>
  </si>
  <si>
    <t xml:space="preserve">ВСП. Работа на средствах связи</t>
  </si>
  <si>
    <t xml:space="preserve">093300</t>
  </si>
  <si>
    <t xml:space="preserve">полковник</t>
  </si>
  <si>
    <t xml:space="preserve">Работа на средствах связи</t>
  </si>
  <si>
    <t xml:space="preserve">Донченко И.А.</t>
  </si>
  <si>
    <t xml:space="preserve">Комплексы и средства СРС</t>
  </si>
  <si>
    <t xml:space="preserve">Организация СРС</t>
  </si>
  <si>
    <t xml:space="preserve">НФВО</t>
  </si>
  <si>
    <t xml:space="preserve">ОВП. УПМВ</t>
  </si>
  <si>
    <t xml:space="preserve">Тактико-специальная подготовка</t>
  </si>
  <si>
    <t xml:space="preserve">093700</t>
  </si>
  <si>
    <t xml:space="preserve">НО СП</t>
  </si>
  <si>
    <t xml:space="preserve">Гашев Д.Н.</t>
  </si>
  <si>
    <t xml:space="preserve">Военно-техническая подготовка</t>
  </si>
  <si>
    <t xml:space="preserve">НУЧ-ЗНО</t>
  </si>
  <si>
    <t xml:space="preserve">ТП. Основы выживаемости</t>
  </si>
  <si>
    <t xml:space="preserve">подполковник</t>
  </si>
  <si>
    <t xml:space="preserve">ТП. Военная топография</t>
  </si>
  <si>
    <t xml:space="preserve">Шевчук А.В.</t>
  </si>
  <si>
    <t xml:space="preserve">ТП. Медицинская подготовка</t>
  </si>
  <si>
    <t xml:space="preserve">ТП. РХБ защита</t>
  </si>
  <si>
    <t xml:space="preserve">ТП. Воен.-инженер. подготовка</t>
  </si>
  <si>
    <t xml:space="preserve">ТСП. Воен.-инженер. подготовка</t>
  </si>
  <si>
    <t xml:space="preserve">ТСП. Военная топография</t>
  </si>
  <si>
    <t xml:space="preserve">ТСП. Воен.-медицин. подготовка</t>
  </si>
  <si>
    <t xml:space="preserve">ТП. Воен.-медицин. подготовка</t>
  </si>
  <si>
    <t xml:space="preserve">493000</t>
  </si>
  <si>
    <t xml:space="preserve">ОВП. Огневая подготовка</t>
  </si>
  <si>
    <t xml:space="preserve">Самостоятельная работа</t>
  </si>
  <si>
    <t xml:space="preserve">Доцент</t>
  </si>
  <si>
    <t xml:space="preserve">ВТП. Комплексы и средства связи</t>
  </si>
  <si>
    <t xml:space="preserve">Бобров Ю.И.</t>
  </si>
  <si>
    <t xml:space="preserve">Военно-спеиальная подготовка</t>
  </si>
  <si>
    <t xml:space="preserve">Комплексы и средства связи</t>
  </si>
  <si>
    <t xml:space="preserve">ТСП. Подготовка по связи</t>
  </si>
  <si>
    <t xml:space="preserve">Учебный сбор</t>
  </si>
  <si>
    <t xml:space="preserve">ТП. Общая тактика</t>
  </si>
  <si>
    <t xml:space="preserve">ОВП. ОВУ ВС РФ</t>
  </si>
  <si>
    <t xml:space="preserve">Иванов А.С.</t>
  </si>
  <si>
    <t xml:space="preserve">ОВП. Воен.-полит. подготовка</t>
  </si>
  <si>
    <t xml:space="preserve">ОВП. Осн.безопасности воен.сл.</t>
  </si>
  <si>
    <t xml:space="preserve">ОВП. Осн.защиты гос.тайны</t>
  </si>
  <si>
    <t xml:space="preserve">ТП. Иностранные армии</t>
  </si>
  <si>
    <t xml:space="preserve">ВСП. Иностранные армии и ТВД</t>
  </si>
  <si>
    <t xml:space="preserve">ВСП. Информац. противоборство</t>
  </si>
  <si>
    <t xml:space="preserve">Тактическая подготовка</t>
  </si>
  <si>
    <t xml:space="preserve">ТСП. Развед. подготовка</t>
  </si>
  <si>
    <t xml:space="preserve">ВСП. Теор. и орг.осн.анализа РИ</t>
  </si>
  <si>
    <t xml:space="preserve">Общевоенная подготовка</t>
  </si>
  <si>
    <t xml:space="preserve">Иностранные армии и ТВД</t>
  </si>
  <si>
    <t xml:space="preserve">Старший</t>
  </si>
  <si>
    <t xml:space="preserve">ВСП. Возд.-десант. подготовка</t>
  </si>
  <si>
    <t xml:space="preserve">преподаватель</t>
  </si>
  <si>
    <t xml:space="preserve">ОВП. Строевая подготовка</t>
  </si>
  <si>
    <t xml:space="preserve">Фролов И.В.</t>
  </si>
  <si>
    <t xml:space="preserve">Воздушно-десантная подготовка</t>
  </si>
  <si>
    <t xml:space="preserve">ВСП. Теор. и орг. основы ПБ</t>
  </si>
  <si>
    <t xml:space="preserve">Военно-специальная подготовка</t>
  </si>
  <si>
    <t xml:space="preserve">ВТП. Техн.эксплуатация РЭСиК</t>
  </si>
  <si>
    <t xml:space="preserve">Технич.эксплуатация РЭСиК</t>
  </si>
  <si>
    <t xml:space="preserve">Иванов Р.А.</t>
  </si>
  <si>
    <t xml:space="preserve">Организация связи</t>
  </si>
  <si>
    <t xml:space="preserve">майор</t>
  </si>
  <si>
    <t xml:space="preserve">Попов Д.А.</t>
  </si>
  <si>
    <t xml:space="preserve">Войсковая стажировка</t>
  </si>
  <si>
    <t xml:space="preserve">ОВП. Военная экология</t>
  </si>
  <si>
    <t xml:space="preserve">Варламов В.А.</t>
  </si>
  <si>
    <t xml:space="preserve">ТСП. РХБ защита</t>
  </si>
  <si>
    <t xml:space="preserve">Итого за отдел:</t>
  </si>
  <si>
    <t xml:space="preserve">Прим. * - год военного обучения по программе офицеров запаса.</t>
  </si>
  <si>
    <t xml:space="preserve">Начальник отдела Специальной подготовки</t>
  </si>
  <si>
    <t xml:space="preserve">                                                                Д.Гашев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</si>
</sst>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7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8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2"/>
      <color theme="1"/>
      <name val="Times New Roman"/>
      <family val="1"/>
      <charset val="204"/>
    </font>
    <font>
      <sz val="18"/>
      <name val="Calibri"/>
      <family val="2"/>
      <charset val="204"/>
    </font>
    <font>
      <sz val="16"/>
      <color theme="1"/>
      <name val="Times New Roman"/>
      <family val="0"/>
    </font>
    <font>
      <sz val="16"/>
      <color rgb="FF000000"/>
      <name val="Times New Roman"/>
      <family val="0"/>
    </font>
    <font>
      <u val="single"/>
      <sz val="16"/>
      <color theme="1"/>
      <name val="Times New Roman"/>
      <family val="0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1" applyFont="true" applyBorder="true" applyAlignment="true" applyProtection="true">
      <alignment horizontal="fill" vertical="bottom" textRotation="0" wrapText="false" indent="0" shrinkToFit="false"/>
      <protection locked="true" hidden="false"/>
    </xf>
  </cellStyleXfs>
  <cellXfs count="1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9" fillId="2" borderId="0" xfId="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4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5" fillId="2" borderId="5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5" fillId="2" borderId="6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5" fontId="5" fillId="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2" xfId="0" applyFont="true" applyBorder="true" applyAlignment="true" applyProtection="true">
      <alignment horizontal="center" vertical="bottom" textRotation="90" wrapText="false" indent="0" shrinkToFit="false"/>
      <protection locked="false" hidden="false"/>
    </xf>
    <xf numFmtId="164" fontId="5" fillId="2" borderId="3" xfId="0" applyFont="true" applyBorder="true" applyAlignment="true" applyProtection="true">
      <alignment horizontal="center" vertical="bottom" textRotation="90" wrapText="false" indent="0" shrinkToFit="false"/>
      <protection locked="false" hidden="false"/>
    </xf>
    <xf numFmtId="164" fontId="5" fillId="2" borderId="7" xfId="0" applyFont="true" applyBorder="true" applyAlignment="true" applyProtection="true">
      <alignment horizontal="center" vertical="bottom" textRotation="90" wrapText="false" indent="0" shrinkToFit="false"/>
      <protection locked="false" hidden="false"/>
    </xf>
    <xf numFmtId="164" fontId="9" fillId="2" borderId="8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5" fillId="2" borderId="3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5" fillId="2" borderId="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1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5" fillId="2" borderId="5" xfId="0" applyFont="true" applyBorder="true" applyAlignment="true" applyProtection="true">
      <alignment horizontal="center" vertical="bottom" textRotation="90" wrapText="false" indent="0" shrinkToFit="false"/>
      <protection locked="false" hidden="false"/>
    </xf>
    <xf numFmtId="164" fontId="5" fillId="2" borderId="8" xfId="0" applyFont="true" applyBorder="true" applyAlignment="true" applyProtection="true">
      <alignment horizontal="center" vertical="bottom" textRotation="90" wrapText="false" indent="0" shrinkToFit="false"/>
      <protection locked="false" hidden="false"/>
    </xf>
    <xf numFmtId="164" fontId="5" fillId="2" borderId="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5" fillId="2" borderId="12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5" fillId="2" borderId="1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3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3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3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3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3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3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3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3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2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2" borderId="3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8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5" fillId="2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2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2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4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3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3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2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4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2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4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Стиль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30</xdr:col>
      <xdr:colOff>346320</xdr:colOff>
      <xdr:row>0</xdr:row>
      <xdr:rowOff>113040</xdr:rowOff>
    </xdr:from>
    <xdr:to>
      <xdr:col>38</xdr:col>
      <xdr:colOff>174960</xdr:colOff>
      <xdr:row>10</xdr:row>
      <xdr:rowOff>136080</xdr:rowOff>
    </xdr:to>
    <xdr:sp>
      <xdr:nvSpPr>
        <xdr:cNvPr id="0" name="TextBox 2"/>
        <xdr:cNvSpPr/>
      </xdr:nvSpPr>
      <xdr:spPr>
        <a:xfrm>
          <a:off x="16192080" y="113040"/>
          <a:ext cx="3371400" cy="17564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noAutofit/>
        </a:bodyPr>
        <a:p>
          <a:pPr algn="ctr">
            <a:lnSpc>
              <a:spcPct val="100000"/>
            </a:lnSpc>
          </a:pP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УТВЕРЖДАЮ</a:t>
          </a:r>
          <a:endParaRPr b="0" lang="ru-RU" sz="16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Начальник </a:t>
          </a:r>
          <a:r>
            <a:rPr b="0" lang="ru-RU" sz="1600" spc="-1" strike="noStrike">
              <a:solidFill>
                <a:srgbClr val="000000"/>
              </a:solidFill>
              <a:latin typeface="Times New Roman"/>
            </a:rPr>
            <a:t>учебного </a:t>
          </a: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центра</a:t>
          </a:r>
          <a:endParaRPr b="0" lang="ru-RU" sz="16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директор</a:t>
          </a:r>
          <a:endParaRPr b="0" lang="ru-RU" sz="1600" spc="-1" strike="noStrike">
            <a:latin typeface="Times New Roman"/>
          </a:endParaRPr>
        </a:p>
        <a:p>
          <a:pPr algn="r">
            <a:lnSpc>
              <a:spcPct val="100000"/>
            </a:lnSpc>
          </a:pP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                                                                               </a:t>
          </a: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ФИО</a:t>
          </a:r>
          <a:endParaRPr b="0" lang="ru-RU" sz="16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«          » июня 2026 года</a:t>
          </a:r>
          <a:endParaRPr b="0" lang="ru-RU" sz="16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28</xdr:col>
      <xdr:colOff>59400</xdr:colOff>
      <xdr:row>0</xdr:row>
      <xdr:rowOff>113040</xdr:rowOff>
    </xdr:from>
    <xdr:to>
      <xdr:col>38</xdr:col>
      <xdr:colOff>212760</xdr:colOff>
      <xdr:row>8</xdr:row>
      <xdr:rowOff>2160</xdr:rowOff>
    </xdr:to>
    <xdr:sp>
      <xdr:nvSpPr>
        <xdr:cNvPr id="1" name="TextBox 1"/>
        <xdr:cNvSpPr/>
      </xdr:nvSpPr>
      <xdr:spPr>
        <a:xfrm>
          <a:off x="15180480" y="113040"/>
          <a:ext cx="4533120" cy="16322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noAutofit/>
        </a:bodyPr>
        <a:p>
          <a:pPr algn="ctr">
            <a:lnSpc>
              <a:spcPct val="100000"/>
            </a:lnSpc>
          </a:pP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УТВЕРЖДАЮ</a:t>
          </a:r>
          <a:endParaRPr b="0" lang="ru-RU" sz="16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Врио начальника учебного военного центра</a:t>
          </a:r>
          <a:endParaRPr b="0" lang="ru-RU" sz="16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       </a:t>
          </a: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полковник</a:t>
          </a:r>
          <a:endParaRPr b="0" lang="ru-RU" sz="16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ru-RU" sz="16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                                                               </a:t>
          </a: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Ю.Самохвалов</a:t>
          </a:r>
          <a:endParaRPr b="0" lang="ru-RU" sz="16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        </a:t>
          </a: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"       "  </a:t>
          </a:r>
          <a:r>
            <a:rPr b="0" lang="ru-RU" sz="1600" spc="-1" strike="noStrike" u="sng">
              <a:solidFill>
                <a:schemeClr val="dk1"/>
              </a:solidFill>
              <a:uFillTx/>
              <a:latin typeface="Times New Roman"/>
            </a:rPr>
            <a:t>                                </a:t>
          </a:r>
          <a:r>
            <a:rPr b="0" lang="ru-RU" sz="1600" spc="-1" strike="noStrike">
              <a:solidFill>
                <a:schemeClr val="dk1"/>
              </a:solidFill>
              <a:latin typeface="Times New Roman"/>
            </a:rPr>
            <a:t>  2019 года</a:t>
          </a:r>
          <a:endParaRPr b="0" lang="ru-RU" sz="16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208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66" zoomScalePageLayoutView="80" workbookViewId="0">
      <selection pane="topLeft" activeCell="B26" activeCellId="0" sqref="B2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20.85"/>
    <col collapsed="false" customWidth="true" hidden="false" outlineLevel="0" max="3" min="3" style="1" width="34"/>
    <col collapsed="false" customWidth="true" hidden="false" outlineLevel="0" max="4" min="4" style="1" width="4.14"/>
    <col collapsed="false" customWidth="true" hidden="false" outlineLevel="0" max="5" min="5" style="1" width="8"/>
    <col collapsed="false" customWidth="true" hidden="false" outlineLevel="0" max="6" min="6" style="1" width="3.86"/>
    <col collapsed="false" customWidth="true" hidden="false" outlineLevel="0" max="7" min="7" style="1" width="5.42"/>
    <col collapsed="false" customWidth="true" hidden="false" outlineLevel="0" max="8" min="8" style="1" width="5.14"/>
    <col collapsed="false" customWidth="true" hidden="false" outlineLevel="0" max="11" min="9" style="1" width="6.85"/>
    <col collapsed="false" customWidth="true" hidden="false" outlineLevel="0" max="12" min="12" style="1" width="5.71"/>
    <col collapsed="false" customWidth="true" hidden="false" outlineLevel="0" max="13" min="13" style="1" width="6.29"/>
    <col collapsed="false" customWidth="true" hidden="false" outlineLevel="0" max="14" min="14" style="1" width="6"/>
    <col collapsed="false" customWidth="true" hidden="false" outlineLevel="0" max="15" min="15" style="1" width="7.29"/>
    <col collapsed="false" customWidth="true" hidden="false" outlineLevel="0" max="16" min="16" style="1" width="6.43"/>
    <col collapsed="false" customWidth="true" hidden="false" outlineLevel="0" max="17" min="17" style="1" width="6"/>
    <col collapsed="false" customWidth="true" hidden="false" outlineLevel="0" max="18" min="18" style="1" width="5.29"/>
    <col collapsed="false" customWidth="true" hidden="false" outlineLevel="0" max="19" min="19" style="1" width="5.86"/>
    <col collapsed="false" customWidth="true" hidden="false" outlineLevel="0" max="20" min="20" style="1" width="6.57"/>
    <col collapsed="false" customWidth="true" hidden="false" outlineLevel="0" max="22" min="21" style="1" width="6"/>
    <col collapsed="false" customWidth="true" hidden="false" outlineLevel="0" max="23" min="23" style="1" width="6.29"/>
    <col collapsed="false" customWidth="true" hidden="false" outlineLevel="0" max="24" min="24" style="1" width="7.57"/>
    <col collapsed="false" customWidth="true" hidden="false" outlineLevel="0" max="25" min="25" style="1" width="6.14"/>
    <col collapsed="false" customWidth="true" hidden="false" outlineLevel="0" max="26" min="26" style="1" width="7"/>
    <col collapsed="false" customWidth="true" hidden="false" outlineLevel="0" max="27" min="27" style="1" width="5.14"/>
    <col collapsed="false" customWidth="true" hidden="false" outlineLevel="0" max="28" min="28" style="1" width="6"/>
    <col collapsed="false" customWidth="true" hidden="false" outlineLevel="0" max="29" min="29" style="1" width="6.85"/>
    <col collapsed="false" customWidth="true" hidden="false" outlineLevel="0" max="30" min="30" style="1" width="6.14"/>
    <col collapsed="false" customWidth="true" hidden="false" outlineLevel="0" max="31" min="31" style="1" width="7.29"/>
    <col collapsed="false" customWidth="true" hidden="false" outlineLevel="0" max="32" min="32" style="1" width="6.57"/>
    <col collapsed="false" customWidth="true" hidden="false" outlineLevel="0" max="34" min="33" style="1" width="6.85"/>
    <col collapsed="false" customWidth="true" hidden="false" outlineLevel="0" max="35" min="35" style="1" width="7"/>
    <col collapsed="false" customWidth="true" hidden="false" outlineLevel="0" max="36" min="36" style="1" width="7.29"/>
    <col collapsed="false" customWidth="true" hidden="true" outlineLevel="0" max="37" min="37" style="1" width="1.29"/>
    <col collapsed="false" customWidth="true" hidden="false" outlineLevel="0" max="38" min="38" style="2" width="8.42"/>
    <col collapsed="false" customWidth="true" hidden="false" outlineLevel="0" max="39" min="39" style="1" width="8.42"/>
    <col collapsed="false" customWidth="false" hidden="false" outlineLevel="0" max="16384" min="40" style="1" width="9.14"/>
  </cols>
  <sheetData>
    <row r="1" customFormat="false" ht="21" hidden="false" customHeight="true" outlineLevel="0" collapsed="false">
      <c r="A1" s="3"/>
      <c r="B1" s="3"/>
      <c r="C1" s="3"/>
      <c r="D1" s="3"/>
      <c r="E1" s="4"/>
      <c r="F1" s="4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5"/>
      <c r="AD1" s="5"/>
      <c r="AE1" s="6"/>
      <c r="AF1" s="6"/>
      <c r="AG1" s="6"/>
      <c r="AH1" s="6"/>
      <c r="AI1" s="6"/>
      <c r="AJ1" s="6"/>
      <c r="AK1" s="6"/>
      <c r="AL1" s="6"/>
      <c r="AM1" s="6"/>
      <c r="AN1" s="4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</row>
    <row r="2" customFormat="false" ht="19.5" hidden="false" customHeight="true" outlineLevel="0" collapsed="false">
      <c r="A2" s="3"/>
      <c r="B2" s="3"/>
      <c r="C2" s="3"/>
      <c r="D2" s="3"/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3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</row>
    <row r="3" customFormat="false" ht="18.75" hidden="false" customHeight="false" outlineLevel="0" collapsed="false">
      <c r="A3" s="3"/>
      <c r="B3" s="3"/>
      <c r="C3" s="3"/>
      <c r="D3" s="3"/>
      <c r="E3" s="4"/>
      <c r="F3" s="4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5"/>
      <c r="AD3" s="9"/>
      <c r="AE3" s="9"/>
      <c r="AF3" s="5"/>
      <c r="AG3" s="5"/>
      <c r="AH3" s="5"/>
      <c r="AI3" s="5"/>
      <c r="AJ3" s="5"/>
      <c r="AK3" s="5"/>
      <c r="AL3" s="10"/>
      <c r="AM3" s="11"/>
      <c r="AN3" s="3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</row>
    <row r="4" customFormat="false" ht="15.75" hidden="false" customHeight="true" outlineLevel="0" collapsed="false">
      <c r="A4" s="3"/>
      <c r="B4" s="3"/>
      <c r="C4" s="3"/>
      <c r="D4" s="3"/>
      <c r="E4" s="4"/>
      <c r="F4" s="4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9"/>
      <c r="AD4" s="9"/>
      <c r="AE4" s="9"/>
      <c r="AF4" s="9"/>
      <c r="AG4" s="9"/>
      <c r="AH4" s="9"/>
      <c r="AI4" s="9"/>
      <c r="AJ4" s="9"/>
      <c r="AK4" s="9"/>
      <c r="AL4" s="12"/>
      <c r="AM4" s="13"/>
      <c r="AN4" s="14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</row>
    <row r="5" customFormat="false" ht="16.5" hidden="false" customHeight="true" outlineLevel="0" collapsed="false">
      <c r="A5" s="3"/>
      <c r="B5" s="3"/>
      <c r="C5" s="3"/>
      <c r="D5" s="3"/>
      <c r="E5" s="4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9"/>
      <c r="AD5" s="9"/>
      <c r="AE5" s="9"/>
      <c r="AF5" s="9"/>
      <c r="AG5" s="9"/>
      <c r="AH5" s="9"/>
      <c r="AI5" s="9"/>
      <c r="AJ5" s="9"/>
      <c r="AK5" s="9"/>
      <c r="AL5" s="12"/>
      <c r="AM5" s="13"/>
      <c r="AN5" s="14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</row>
    <row r="6" customFormat="false" ht="16.5" hidden="false" customHeight="true" outlineLevel="0" collapsed="false">
      <c r="A6" s="3"/>
      <c r="B6" s="3"/>
      <c r="C6" s="3"/>
      <c r="D6" s="3"/>
      <c r="E6" s="4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9"/>
      <c r="AD6" s="9"/>
      <c r="AE6" s="9"/>
      <c r="AF6" s="9"/>
      <c r="AG6" s="9"/>
      <c r="AH6" s="9"/>
      <c r="AI6" s="9"/>
      <c r="AJ6" s="9"/>
      <c r="AK6" s="9"/>
      <c r="AL6" s="12"/>
      <c r="AM6" s="13"/>
      <c r="AN6" s="14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</row>
    <row r="7" customFormat="false" ht="13.5" hidden="false" customHeight="true" outlineLevel="0" collapsed="false">
      <c r="A7" s="3"/>
      <c r="B7" s="3"/>
      <c r="C7" s="3"/>
      <c r="D7" s="3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9"/>
      <c r="AD7" s="9"/>
      <c r="AE7" s="9"/>
      <c r="AF7" s="9"/>
      <c r="AG7" s="9"/>
      <c r="AH7" s="9"/>
      <c r="AI7" s="9"/>
      <c r="AJ7" s="9"/>
      <c r="AK7" s="9"/>
      <c r="AL7" s="12"/>
      <c r="AM7" s="13"/>
      <c r="AN7" s="14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</row>
    <row r="8" customFormat="false" ht="10.5" hidden="false" customHeight="true" outlineLevel="0" collapsed="false">
      <c r="A8" s="3"/>
      <c r="B8" s="3"/>
      <c r="C8" s="3"/>
      <c r="D8" s="3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9"/>
      <c r="AD8" s="9"/>
      <c r="AE8" s="9"/>
      <c r="AF8" s="9"/>
      <c r="AG8" s="9"/>
      <c r="AH8" s="9"/>
      <c r="AI8" s="9"/>
      <c r="AJ8" s="9"/>
      <c r="AK8" s="9"/>
      <c r="AL8" s="12"/>
      <c r="AM8" s="13"/>
      <c r="AN8" s="14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</row>
    <row r="9" customFormat="false" ht="4.5" hidden="false" customHeight="true" outlineLevel="0" collapsed="false">
      <c r="A9" s="3"/>
      <c r="B9" s="3"/>
      <c r="C9" s="3"/>
      <c r="D9" s="3"/>
      <c r="E9" s="4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9"/>
      <c r="AD9" s="9"/>
      <c r="AE9" s="9"/>
      <c r="AF9" s="9"/>
      <c r="AG9" s="9"/>
      <c r="AH9" s="9"/>
      <c r="AI9" s="9"/>
      <c r="AJ9" s="9"/>
      <c r="AK9" s="9"/>
      <c r="AL9" s="12"/>
      <c r="AM9" s="13"/>
      <c r="AN9" s="14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</row>
    <row r="10" customFormat="false" ht="14.25" hidden="true" customHeight="true" outlineLevel="0" collapsed="false">
      <c r="A10" s="3"/>
      <c r="B10" s="3"/>
      <c r="C10" s="3"/>
      <c r="D10" s="3"/>
      <c r="E10" s="4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9"/>
      <c r="AD10" s="9"/>
      <c r="AE10" s="9"/>
      <c r="AF10" s="9"/>
      <c r="AG10" s="9"/>
      <c r="AH10" s="9"/>
      <c r="AI10" s="9"/>
      <c r="AJ10" s="9"/>
      <c r="AK10" s="9"/>
      <c r="AL10" s="12"/>
      <c r="AM10" s="13"/>
      <c r="AN10" s="14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</row>
    <row r="11" customFormat="false" ht="43.5" hidden="false" customHeight="true" outlineLevel="0" collapsed="false">
      <c r="A11" s="15" t="s">
        <v>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6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3"/>
    </row>
    <row r="12" customFormat="false" ht="18" hidden="true" customHeight="tru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8"/>
      <c r="AM12" s="17"/>
      <c r="AN12" s="16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3"/>
    </row>
    <row r="13" customFormat="false" ht="7.5" hidden="true" customHeight="tru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8"/>
      <c r="AM13" s="17"/>
      <c r="AN13" s="16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3"/>
    </row>
    <row r="14" customFormat="false" ht="13.5" hidden="false" customHeight="true" outlineLevel="0" collapsed="false">
      <c r="A14" s="3"/>
      <c r="B14" s="3"/>
      <c r="C14" s="3"/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19"/>
      <c r="X14" s="19"/>
      <c r="Y14" s="19"/>
      <c r="Z14" s="19"/>
      <c r="AA14" s="19"/>
      <c r="AB14" s="19"/>
      <c r="AC14" s="19"/>
      <c r="AD14" s="4"/>
      <c r="AE14" s="4"/>
      <c r="AF14" s="4"/>
      <c r="AG14" s="4"/>
      <c r="AH14" s="4"/>
      <c r="AI14" s="4"/>
      <c r="AJ14" s="4"/>
      <c r="AK14" s="4"/>
      <c r="AL14" s="20"/>
      <c r="AM14" s="4"/>
      <c r="AN14" s="16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3"/>
    </row>
    <row r="15" customFormat="false" ht="13.5" hidden="false" customHeight="true" outlineLevel="0" collapsed="false">
      <c r="A15" s="21" t="s">
        <v>1</v>
      </c>
      <c r="B15" s="22" t="s">
        <v>2</v>
      </c>
      <c r="C15" s="22" t="s">
        <v>3</v>
      </c>
      <c r="D15" s="23" t="s">
        <v>4</v>
      </c>
      <c r="E15" s="24" t="s">
        <v>5</v>
      </c>
      <c r="F15" s="25" t="s">
        <v>6</v>
      </c>
      <c r="G15" s="26" t="s">
        <v>7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7" t="s">
        <v>8</v>
      </c>
      <c r="AJ15" s="28" t="s">
        <v>9</v>
      </c>
      <c r="AK15" s="29" t="s">
        <v>10</v>
      </c>
      <c r="AL15" s="30" t="s">
        <v>11</v>
      </c>
      <c r="AM15" s="31" t="s">
        <v>12</v>
      </c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32"/>
    </row>
    <row r="16" customFormat="false" ht="16.5" hidden="false" customHeight="false" outlineLevel="0" collapsed="false">
      <c r="A16" s="21"/>
      <c r="B16" s="22"/>
      <c r="C16" s="22"/>
      <c r="D16" s="23"/>
      <c r="E16" s="24"/>
      <c r="F16" s="25"/>
      <c r="G16" s="33" t="s">
        <v>13</v>
      </c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 t="s">
        <v>14</v>
      </c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27"/>
      <c r="AJ16" s="28"/>
      <c r="AK16" s="29"/>
      <c r="AL16" s="30"/>
      <c r="AM16" s="31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</row>
    <row r="17" customFormat="false" ht="33.75" hidden="false" customHeight="true" outlineLevel="0" collapsed="false">
      <c r="A17" s="21"/>
      <c r="B17" s="22"/>
      <c r="C17" s="22"/>
      <c r="D17" s="23"/>
      <c r="E17" s="24"/>
      <c r="F17" s="25"/>
      <c r="G17" s="29" t="s">
        <v>15</v>
      </c>
      <c r="H17" s="24" t="s">
        <v>16</v>
      </c>
      <c r="I17" s="34" t="s">
        <v>17</v>
      </c>
      <c r="J17" s="34"/>
      <c r="K17" s="34" t="s">
        <v>18</v>
      </c>
      <c r="L17" s="34"/>
      <c r="M17" s="35" t="s">
        <v>19</v>
      </c>
      <c r="N17" s="35" t="s">
        <v>20</v>
      </c>
      <c r="O17" s="24" t="s">
        <v>21</v>
      </c>
      <c r="P17" s="35" t="s">
        <v>22</v>
      </c>
      <c r="Q17" s="35" t="s">
        <v>23</v>
      </c>
      <c r="R17" s="35" t="s">
        <v>24</v>
      </c>
      <c r="S17" s="36" t="s">
        <v>25</v>
      </c>
      <c r="T17" s="37" t="s">
        <v>26</v>
      </c>
      <c r="U17" s="29" t="s">
        <v>15</v>
      </c>
      <c r="V17" s="24" t="s">
        <v>16</v>
      </c>
      <c r="W17" s="34" t="s">
        <v>17</v>
      </c>
      <c r="X17" s="34"/>
      <c r="Y17" s="34" t="s">
        <v>18</v>
      </c>
      <c r="Z17" s="34"/>
      <c r="AA17" s="35" t="s">
        <v>19</v>
      </c>
      <c r="AB17" s="35" t="s">
        <v>20</v>
      </c>
      <c r="AC17" s="24" t="s">
        <v>21</v>
      </c>
      <c r="AD17" s="35" t="s">
        <v>27</v>
      </c>
      <c r="AE17" s="35" t="s">
        <v>23</v>
      </c>
      <c r="AF17" s="35" t="s">
        <v>24</v>
      </c>
      <c r="AG17" s="36" t="s">
        <v>25</v>
      </c>
      <c r="AH17" s="28" t="s">
        <v>26</v>
      </c>
      <c r="AI17" s="27"/>
      <c r="AJ17" s="28"/>
      <c r="AK17" s="29"/>
      <c r="AL17" s="30"/>
      <c r="AM17" s="31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</row>
    <row r="18" customFormat="false" ht="195.75" hidden="false" customHeight="true" outlineLevel="0" collapsed="false">
      <c r="A18" s="21"/>
      <c r="B18" s="22"/>
      <c r="C18" s="22"/>
      <c r="D18" s="23"/>
      <c r="E18" s="24"/>
      <c r="F18" s="25"/>
      <c r="G18" s="29"/>
      <c r="H18" s="24"/>
      <c r="I18" s="38" t="s">
        <v>28</v>
      </c>
      <c r="J18" s="38" t="s">
        <v>29</v>
      </c>
      <c r="K18" s="39" t="s">
        <v>30</v>
      </c>
      <c r="L18" s="39" t="s">
        <v>29</v>
      </c>
      <c r="M18" s="35"/>
      <c r="N18" s="35"/>
      <c r="O18" s="35"/>
      <c r="P18" s="35"/>
      <c r="Q18" s="35"/>
      <c r="R18" s="35"/>
      <c r="S18" s="36"/>
      <c r="T18" s="37"/>
      <c r="U18" s="29"/>
      <c r="V18" s="24"/>
      <c r="W18" s="38" t="s">
        <v>28</v>
      </c>
      <c r="X18" s="38" t="s">
        <v>29</v>
      </c>
      <c r="Y18" s="39" t="s">
        <v>30</v>
      </c>
      <c r="Z18" s="39" t="s">
        <v>29</v>
      </c>
      <c r="AA18" s="35"/>
      <c r="AB18" s="35"/>
      <c r="AC18" s="35"/>
      <c r="AD18" s="35"/>
      <c r="AE18" s="35"/>
      <c r="AF18" s="35"/>
      <c r="AG18" s="36"/>
      <c r="AH18" s="28"/>
      <c r="AI18" s="27"/>
      <c r="AJ18" s="28"/>
      <c r="AK18" s="29"/>
      <c r="AL18" s="30"/>
      <c r="AM18" s="31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40"/>
    </row>
    <row r="19" customFormat="false" ht="15.75" hidden="false" customHeight="false" outlineLevel="0" collapsed="false">
      <c r="A19" s="41" t="n">
        <v>1</v>
      </c>
      <c r="B19" s="42" t="s">
        <v>31</v>
      </c>
      <c r="C19" s="43" t="s">
        <v>32</v>
      </c>
      <c r="D19" s="44" t="s">
        <v>33</v>
      </c>
      <c r="E19" s="45" t="s">
        <v>34</v>
      </c>
      <c r="F19" s="46" t="n">
        <v>1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8"/>
      <c r="S19" s="48"/>
      <c r="T19" s="49" t="str">
        <f aca="false">IF(SUM(G19:S19)=0,"",SUM(G19:S19))</f>
        <v/>
      </c>
      <c r="U19" s="50" t="n">
        <v>18</v>
      </c>
      <c r="V19" s="47"/>
      <c r="W19" s="47"/>
      <c r="X19" s="47"/>
      <c r="Y19" s="47"/>
      <c r="Z19" s="47"/>
      <c r="AA19" s="47"/>
      <c r="AB19" s="47"/>
      <c r="AC19" s="47" t="n">
        <v>6</v>
      </c>
      <c r="AD19" s="47"/>
      <c r="AE19" s="47"/>
      <c r="AF19" s="47"/>
      <c r="AG19" s="51"/>
      <c r="AH19" s="52" t="n">
        <f aca="false">IF(SUM(U19:AG19)=0,"",SUM(U19:AG19))</f>
        <v>24</v>
      </c>
      <c r="AI19" s="53"/>
      <c r="AJ19" s="43" t="n">
        <f aca="false">IF(SUM(T19,AH19)=0,"",SUM(T19,AH19))</f>
        <v>24</v>
      </c>
      <c r="AK19" s="54"/>
      <c r="AL19" s="55"/>
      <c r="AM19" s="56" t="n">
        <f aca="false">IF(SUM(AJ19:AL19)=0,"",SUM(AJ19:AL19))</f>
        <v>24</v>
      </c>
    </row>
    <row r="20" customFormat="false" ht="15.75" hidden="false" customHeight="false" outlineLevel="0" collapsed="false">
      <c r="A20" s="41"/>
      <c r="B20" s="42"/>
      <c r="C20" s="43" t="s">
        <v>35</v>
      </c>
      <c r="D20" s="44" t="s">
        <v>36</v>
      </c>
      <c r="E20" s="45" t="s">
        <v>34</v>
      </c>
      <c r="F20" s="46" t="n">
        <v>1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8"/>
      <c r="S20" s="48"/>
      <c r="T20" s="49" t="str">
        <f aca="false">IF(SUM(G20:S20)=0,"",SUM(G20:S20))</f>
        <v/>
      </c>
      <c r="U20" s="50" t="n">
        <v>10</v>
      </c>
      <c r="V20" s="47" t="n">
        <v>12</v>
      </c>
      <c r="W20" s="47"/>
      <c r="X20" s="47"/>
      <c r="Y20" s="47"/>
      <c r="Z20" s="47"/>
      <c r="AA20" s="47" t="n">
        <v>2</v>
      </c>
      <c r="AB20" s="47"/>
      <c r="AC20" s="47" t="n">
        <v>8</v>
      </c>
      <c r="AD20" s="47"/>
      <c r="AE20" s="47"/>
      <c r="AF20" s="47"/>
      <c r="AG20" s="51"/>
      <c r="AH20" s="52" t="n">
        <f aca="false">IF(SUM(U20:AG20)=0,"",SUM(U20:AG20))</f>
        <v>32</v>
      </c>
      <c r="AI20" s="53"/>
      <c r="AJ20" s="43" t="n">
        <f aca="false">IF(SUM(T20,AH20)=0,"",SUM(T20,AH20))</f>
        <v>32</v>
      </c>
      <c r="AK20" s="54"/>
      <c r="AL20" s="55"/>
      <c r="AM20" s="56" t="n">
        <f aca="false">IF(SUM(AJ20:AL20)=0,"",SUM(AJ20:AL20))</f>
        <v>32</v>
      </c>
    </row>
    <row r="21" customFormat="false" ht="15.75" hidden="false" customHeight="false" outlineLevel="0" collapsed="false">
      <c r="A21" s="41"/>
      <c r="B21" s="42" t="s">
        <v>37</v>
      </c>
      <c r="C21" s="43" t="s">
        <v>38</v>
      </c>
      <c r="D21" s="57" t="s">
        <v>39</v>
      </c>
      <c r="E21" s="45" t="s">
        <v>34</v>
      </c>
      <c r="F21" s="58" t="n">
        <v>1</v>
      </c>
      <c r="G21" s="59" t="n">
        <v>28</v>
      </c>
      <c r="H21" s="59"/>
      <c r="I21" s="59" t="n">
        <v>28</v>
      </c>
      <c r="J21" s="59"/>
      <c r="K21" s="59"/>
      <c r="L21" s="59"/>
      <c r="M21" s="59" t="n">
        <v>2</v>
      </c>
      <c r="N21" s="59"/>
      <c r="O21" s="59" t="n">
        <v>8</v>
      </c>
      <c r="P21" s="59"/>
      <c r="Q21" s="59" t="n">
        <v>4</v>
      </c>
      <c r="R21" s="53"/>
      <c r="S21" s="53" t="n">
        <v>8</v>
      </c>
      <c r="T21" s="60" t="n">
        <f aca="false">IF(SUM(G21:S21)=0,"",SUM(G21:S21))</f>
        <v>78</v>
      </c>
      <c r="U21" s="54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61"/>
      <c r="AH21" s="52" t="str">
        <f aca="false">IF(SUM(U21:AG21)=0,"",SUM(U21:AG21))</f>
        <v/>
      </c>
      <c r="AI21" s="53"/>
      <c r="AJ21" s="43" t="n">
        <f aca="false">IF(SUM(T21,AH21)=0,"",SUM(T21,AH21))</f>
        <v>78</v>
      </c>
      <c r="AK21" s="54"/>
      <c r="AL21" s="55"/>
      <c r="AM21" s="56" t="n">
        <f aca="false">IF(SUM(AJ21:AL21)=0,"",SUM(AJ21:AL21))</f>
        <v>78</v>
      </c>
    </row>
    <row r="22" customFormat="false" ht="16.5" hidden="false" customHeight="false" outlineLevel="0" collapsed="false">
      <c r="A22" s="41"/>
      <c r="B22" s="42"/>
      <c r="C22" s="43" t="s">
        <v>40</v>
      </c>
      <c r="D22" s="57" t="s">
        <v>36</v>
      </c>
      <c r="E22" s="45" t="s">
        <v>41</v>
      </c>
      <c r="F22" s="58" t="n">
        <v>1</v>
      </c>
      <c r="G22" s="54" t="n">
        <v>10</v>
      </c>
      <c r="H22" s="59" t="n">
        <v>8</v>
      </c>
      <c r="I22" s="59"/>
      <c r="J22" s="59"/>
      <c r="K22" s="59"/>
      <c r="L22" s="59"/>
      <c r="M22" s="59"/>
      <c r="N22" s="59"/>
      <c r="O22" s="59" t="n">
        <v>6</v>
      </c>
      <c r="P22" s="59"/>
      <c r="Q22" s="59"/>
      <c r="R22" s="59"/>
      <c r="S22" s="61"/>
      <c r="T22" s="52" t="n">
        <f aca="false">IF(SUM(G22:S22)=0,"",SUM(G22:S22))</f>
        <v>24</v>
      </c>
      <c r="U22" s="54" t="n">
        <v>6</v>
      </c>
      <c r="V22" s="59" t="n">
        <v>4</v>
      </c>
      <c r="W22" s="59"/>
      <c r="X22" s="59"/>
      <c r="Y22" s="59"/>
      <c r="Z22" s="59"/>
      <c r="AA22" s="59" t="n">
        <v>4</v>
      </c>
      <c r="AB22" s="59"/>
      <c r="AC22" s="59" t="n">
        <v>4</v>
      </c>
      <c r="AD22" s="59"/>
      <c r="AE22" s="59"/>
      <c r="AF22" s="59"/>
      <c r="AG22" s="61"/>
      <c r="AH22" s="52" t="n">
        <f aca="false">IF(SUM(U22:AG22)=0,"",SUM(U22:AG22))</f>
        <v>18</v>
      </c>
      <c r="AI22" s="53"/>
      <c r="AJ22" s="62" t="n">
        <f aca="false">IF(SUM(T22,AH22)=0,"",SUM(T22,AH22))</f>
        <v>42</v>
      </c>
      <c r="AK22" s="54"/>
      <c r="AL22" s="55"/>
      <c r="AM22" s="56" t="n">
        <f aca="false">IF(SUM(AJ22:AL22)=0,"",SUM(AJ22:AL22))</f>
        <v>42</v>
      </c>
    </row>
    <row r="23" customFormat="false" ht="23.25" hidden="false" customHeight="true" outlineLevel="0" collapsed="false">
      <c r="A23" s="63"/>
      <c r="B23" s="64" t="s">
        <v>42</v>
      </c>
      <c r="C23" s="65"/>
      <c r="D23" s="66"/>
      <c r="E23" s="67"/>
      <c r="F23" s="68"/>
      <c r="G23" s="69" t="n">
        <f aca="false">IF(SUM(G19:G22)=0,"",SUM(G19:G22))</f>
        <v>38</v>
      </c>
      <c r="H23" s="69" t="n">
        <f aca="false">IF(SUM(H19:H22)=0,"",SUM(H19:H22))</f>
        <v>8</v>
      </c>
      <c r="I23" s="69" t="n">
        <f aca="false">IF(SUM(I19:I22)=0,"",SUM(I19:I22))</f>
        <v>28</v>
      </c>
      <c r="J23" s="69" t="str">
        <f aca="false">IF(SUM(J19:J22)=0,"",SUM(J19:J22))</f>
        <v/>
      </c>
      <c r="K23" s="69" t="str">
        <f aca="false">IF(SUM(K19:K22)=0,"",SUM(K19:K22))</f>
        <v/>
      </c>
      <c r="L23" s="69" t="str">
        <f aca="false">IF(SUM(L19:L22)=0,"",SUM(L19:L22))</f>
        <v/>
      </c>
      <c r="M23" s="69" t="n">
        <f aca="false">IF(SUM(M19:M22)=0,"",SUM(M19:M22))</f>
        <v>2</v>
      </c>
      <c r="N23" s="69" t="str">
        <f aca="false">IF(SUM(N19:N22)=0,"",SUM(N19:N22))</f>
        <v/>
      </c>
      <c r="O23" s="69" t="n">
        <f aca="false">IF(SUM(O19:O22)=0,"",SUM(O19:O22))</f>
        <v>14</v>
      </c>
      <c r="P23" s="69" t="str">
        <f aca="false">IF(SUM(P19:P22)=0,"",SUM(P19:P22))</f>
        <v/>
      </c>
      <c r="Q23" s="69" t="n">
        <f aca="false">IF(SUM(Q19:Q22)=0,"",SUM(Q19:Q22))</f>
        <v>4</v>
      </c>
      <c r="R23" s="69" t="str">
        <f aca="false">IF(SUM(R19:R22)=0,"",SUM(R19:R22))</f>
        <v/>
      </c>
      <c r="S23" s="70" t="n">
        <f aca="false">IF(SUM(S19:S22)=0,"",SUM(S19:S22))</f>
        <v>8</v>
      </c>
      <c r="T23" s="71" t="n">
        <f aca="false">IF(SUM(G23:S23)=0,"",SUM(G23:S23))</f>
        <v>102</v>
      </c>
      <c r="U23" s="72" t="n">
        <f aca="false">IF(SUM(U19:U22)=0,"",SUM(U19:U22))</f>
        <v>34</v>
      </c>
      <c r="V23" s="69" t="n">
        <f aca="false">IF(SUM(V19:V22)=0,"",SUM(V19:V22))</f>
        <v>16</v>
      </c>
      <c r="W23" s="69" t="str">
        <f aca="false">IF(SUM(W19:W22)=0,"",SUM(W19:W22))</f>
        <v/>
      </c>
      <c r="X23" s="69" t="str">
        <f aca="false">IF(SUM(X19:X22)=0,"",SUM(X19:X22))</f>
        <v/>
      </c>
      <c r="Y23" s="69" t="str">
        <f aca="false">IF(SUM(Y19:Y22)=0,"",SUM(Y19:Y22))</f>
        <v/>
      </c>
      <c r="Z23" s="69" t="str">
        <f aca="false">IF(SUM(Z19:Z22)=0,"",SUM(Z19:Z22))</f>
        <v/>
      </c>
      <c r="AA23" s="69" t="n">
        <f aca="false">IF(SUM(AA19:AA22)=0,"",SUM(AA19:AA22))</f>
        <v>6</v>
      </c>
      <c r="AB23" s="69" t="str">
        <f aca="false">IF(SUM(AB19:AB22)=0,"",SUM(AB19:AB22))</f>
        <v/>
      </c>
      <c r="AC23" s="69" t="n">
        <f aca="false">IF(SUM(AC19:AC22)=0,"",SUM(AC19:AC22))</f>
        <v>18</v>
      </c>
      <c r="AD23" s="69" t="str">
        <f aca="false">IF(SUM(AD19:AD22)=0,"",SUM(AD19:AD22))</f>
        <v/>
      </c>
      <c r="AE23" s="69" t="str">
        <f aca="false">IF(SUM(AE19:AE22)=0,"",SUM(AE19:AE22))</f>
        <v/>
      </c>
      <c r="AF23" s="69" t="str">
        <f aca="false">IF(SUM(AF19:AF22)=0,"",SUM(AF19:AF22))</f>
        <v/>
      </c>
      <c r="AG23" s="70" t="str">
        <f aca="false">IF(SUM(AG19:AG22)=0,"",SUM(AG19:AG22))</f>
        <v/>
      </c>
      <c r="AH23" s="71" t="n">
        <f aca="false">IF(SUM(U23:AG23)=0,"",SUM(U23:AG23))</f>
        <v>74</v>
      </c>
      <c r="AI23" s="73"/>
      <c r="AJ23" s="74" t="n">
        <f aca="false">IF(SUM(T23,AH23)=0,"",SUM(T23,AH23))</f>
        <v>176</v>
      </c>
      <c r="AK23" s="72"/>
      <c r="AL23" s="75" t="str">
        <f aca="false">IF(SUM(AL19:AL22)=0,"",SUM(AL19:AL22))</f>
        <v/>
      </c>
      <c r="AM23" s="71" t="n">
        <f aca="false">IF(SUM(T23,AH23,AL23)=SUM(AM18:AM22),SUM(T23,AH23,AL23),"ОШИБКА")</f>
        <v>176</v>
      </c>
    </row>
    <row r="24" customFormat="false" ht="15" hidden="false" customHeight="false" outlineLevel="0" collapsed="false">
      <c r="A24" s="76"/>
      <c r="B24" s="77" t="s">
        <v>43</v>
      </c>
      <c r="C24" s="65"/>
      <c r="D24" s="65"/>
      <c r="E24" s="65"/>
      <c r="F24" s="78"/>
      <c r="G24" s="71" t="n">
        <f aca="false">IF(SUM(G195,G188,G184,G167,G144,G121,G97,G77,G58,G38,G27,G23)=0," ",SUM(G195,G188,G184,G167,G144,G121,G97,G77,G58,G38,G27,G23))</f>
        <v>38</v>
      </c>
      <c r="H24" s="71" t="n">
        <f aca="false">IF(SUM(H195,H188,H184,H167,H144,H121,H97,H77,H58,H38,H27,H23)=0," ",SUM(H195,H188,H184,H167,H144,H121,H97,H77,H58,H38,H27,H23))</f>
        <v>8</v>
      </c>
      <c r="I24" s="71" t="n">
        <f aca="false">IF(SUM(I195,I188,I184,I167,I144,I121,I97,I77,I58,I38,I27,I23)=0," ",SUM(I195,I188,I184,I167,I144,I121,I97,I77,I58,I38,I27,I23))</f>
        <v>28</v>
      </c>
      <c r="J24" s="71" t="str">
        <f aca="false">IF(SUM(J195,J188,J184,J167,J144,J121,J97,J77,J58,J38,J27,J23)=0," ",SUM(J195,J188,J184,J167,J144,J121,J97,J77,J58,J38,J27,J23))</f>
        <v> </v>
      </c>
      <c r="K24" s="71" t="str">
        <f aca="false">IF(SUM(K195,K188,K184,K167,K144,K121,K97,K77,K58,K38,K27,K23)=0," ",SUM(K195,K188,K184,K167,K144,K121,K97,K77,K58,K38,K27,K23))</f>
        <v> </v>
      </c>
      <c r="L24" s="71" t="str">
        <f aca="false">IF(SUM(L195,L188,L184,L167,L144,L121,L97,L77,L58,L38,L27,L23)=0," ",SUM(L195,L188,L184,L167,L144,L121,L97,L77,L58,L38,L27,L23))</f>
        <v> </v>
      </c>
      <c r="M24" s="71" t="n">
        <f aca="false">IF(SUM(M195,M188,M184,M167,M144,M121,M97,M77,M58,M38,M27,M23)=0," ",SUM(M195,M188,M184,M167,M144,M121,M97,M77,M58,M38,M27,M23))</f>
        <v>2</v>
      </c>
      <c r="N24" s="71" t="str">
        <f aca="false">IF(SUM(N195,N188,N184,N167,N144,N121,N97,N77,N58,N38,N27,N23)=0," ",SUM(N195,N188,N184,N167,N144,N121,N97,N77,N58,N38,N27,N23))</f>
        <v> </v>
      </c>
      <c r="O24" s="71" t="n">
        <f aca="false">IF(SUM(O195,O188,O184,O167,O144,O121,O97,O77,O58,O38,O27,O23)=0," ",SUM(O195,O188,O184,O167,O144,O121,O97,O77,O58,O38,O27,O23))</f>
        <v>14</v>
      </c>
      <c r="P24" s="71" t="str">
        <f aca="false">IF(SUM(P195,P188,P184,P167,P144,P121,P97,P77,P58,P38,P27,P23)=0," ",SUM(P195,P188,P184,P167,P144,P121,P97,P77,P58,P38,P27,P23))</f>
        <v> </v>
      </c>
      <c r="Q24" s="71" t="n">
        <f aca="false">IF(SUM(Q195,Q188,Q184,Q167,Q144,Q121,Q97,Q77,Q58,Q38,Q27,Q23)=0," ",SUM(Q195,Q188,Q184,Q167,Q144,Q121,Q97,Q77,Q58,Q38,Q27,Q23))</f>
        <v>4</v>
      </c>
      <c r="R24" s="71" t="str">
        <f aca="false">IF(SUM(R195,R188,R184,R167,R144,R121,R97,R77,R58,R38,R27,R23)=0," ",SUM(R195,R188,R184,R167,R144,R121,R97,R77,R58,R38,R27,R23))</f>
        <v> </v>
      </c>
      <c r="S24" s="71" t="n">
        <f aca="false">IF(SUM(S195,S188,S184,S167,S144,S121,S97,S77,S58,S38,S27,S23)=0," ",SUM(S195,S188,S184,S167,S144,S121,S97,S77,S58,S38,S27,S23))</f>
        <v>8</v>
      </c>
      <c r="T24" s="71" t="n">
        <f aca="false">IF(SUM(T195,T188,T184,T167,T144,T121,T97,T77,T58,T38,T27,T23)=0," ",SUM(T195,T188,T184,T167,T144,T121,T97,T77,T58,T38,T27,T23))</f>
        <v>102</v>
      </c>
      <c r="U24" s="71" t="n">
        <f aca="false">IF(SUM(U188,U184,U167,U144,U121,U97,U77,U58,U38,U27,U23)=0," ",SUM(U188,U184,U167,U144,U121,U97,U77,U58,U38,U27,U23))</f>
        <v>34</v>
      </c>
      <c r="V24" s="71" t="n">
        <f aca="false">IF(SUM(V188,V184,V167,V144,V121,V97,V77,V58,V38,V27,V23)=0," ",SUM(V188,V184,V167,V144,V121,V97,V77,V58,V38,V27,V23))</f>
        <v>16</v>
      </c>
      <c r="W24" s="71" t="str">
        <f aca="false">IF(SUM(W188,W184,W167,W144,W121,W97,W77,W58,W38,W27,W23)=0," ",SUM(W188,W184,W167,W144,W121,W97,W77,W58,W38,W27,W23))</f>
        <v> </v>
      </c>
      <c r="X24" s="71" t="str">
        <f aca="false">IF(SUM(X188,X184,X167,X144,X121,X97,X77,X58,X38,X27,X23)=0," ",SUM(X188,X184,X167,X144,X121,X97,X77,X58,X38,X27,X23))</f>
        <v> </v>
      </c>
      <c r="Y24" s="71" t="str">
        <f aca="false">IF(SUM(Y188,Y184,Y167,Y144,Y121,Y97,Y77,Y58,Y38,Y27,Y23)=0," ",SUM(Y188,Y184,Y167,Y144,Y121,Y97,Y77,Y58,Y38,Y27,Y23))</f>
        <v> </v>
      </c>
      <c r="Z24" s="71" t="str">
        <f aca="false">IF(SUM(Z188,Z184,Z167,Z144,Z121,Z97,Z77,Z58,Z38,Z27,Z23)=0," ",SUM(Z188,Z184,Z167,Z144,Z121,Z97,Z77,Z58,Z38,Z27,Z23))</f>
        <v> </v>
      </c>
      <c r="AA24" s="71" t="n">
        <f aca="false">IF(SUM(AA188,AA184,AA167,AA144,AA121,AA97,AA77,AA58,AA38,AA27,AA23)=0," ",SUM(AA188,AA184,AA167,AA144,AA121,AA97,AA77,AA58,AA38,AA27,AA23))</f>
        <v>6</v>
      </c>
      <c r="AB24" s="71" t="str">
        <f aca="false">IF(SUM(AB188,AB184,AB167,AB144,AB121,AB97,AB77,AB58,AB38,AB27,AB23)=0," ",SUM(AB188,AB184,AB167,AB144,AB121,AB97,AB77,AB58,AB38,AB27,AB23))</f>
        <v> </v>
      </c>
      <c r="AC24" s="71" t="n">
        <f aca="false">IF(SUM(AC188,AC184,AC167,AC144,AC121,AC97,AC77,AC58,AC38,AC27,AC23)=0," ",SUM(AC188,AC184,AC167,AC144,AC121,AC97,AC77,AC58,AC38,AC27,AC23))</f>
        <v>18</v>
      </c>
      <c r="AD24" s="71" t="str">
        <f aca="false">IF(SUM(AD188,AD184,AD167,AD144,AD121,AD97,AD77,AD58,AD38,AD27,AD23)=0," ",SUM(AD188,AD184,AD167,AD144,AD121,AD97,AD77,AD58,AD38,AD27,AD23))</f>
        <v> </v>
      </c>
      <c r="AE24" s="71" t="str">
        <f aca="false">IF(SUM(AE188,AE184,AE167,AE144,AE121,AE97,AE77,AE58,AE38,AE27,AE23)=0," ",SUM(AE188,AE184,AE167,AE144,AE121,AE97,AE77,AE58,AE38,AE27,AE23))</f>
        <v> </v>
      </c>
      <c r="AF24" s="71" t="str">
        <f aca="false">IF(SUM(AF188,AF184,AF167,AF144,AF121,AF97,AF77,AF58,AF38,AF27,AF23)=0," ",SUM(AF188,AF184,AF167,AF144,AF121,AF97,AF77,AF58,AF38,AF27,AF23))</f>
        <v> </v>
      </c>
      <c r="AG24" s="71" t="str">
        <f aca="false">IF(SUM(AG188,AG184,AG167,AG144,AG121,AG97,AG77,AG58,AG38,AG27,AG23)=0," ",SUM(AG188,AG184,AG167,AG144,AG121,AG97,AG77,AG58,AG38,AG27,AG23))</f>
        <v> </v>
      </c>
      <c r="AH24" s="71" t="n">
        <f aca="false">IF(SUM(AH195,AH188,AH184,AH167,AH144,AH121,AH97,AH77,AH58,AH38,AH27,AH23)=0," ",SUM(AH195,AH188,AH184,AH167,AH144,AH121,AH97,AH77,AH58,AH38,AH27,AH23))</f>
        <v>74</v>
      </c>
      <c r="AI24" s="71" t="str">
        <f aca="false">IF(SUM(AI195,AI188,AI184,AI167,AI144,AI121,AI97,AI77,AI58,AI38,AI27,AI23)=0," ",SUM(AI195,AI188,AI184,AI167,AI144,AI121,AI97,AI77,AI58,AI38,AI27,AI23))</f>
        <v> </v>
      </c>
      <c r="AJ24" s="71" t="n">
        <f aca="false">IF(SUM(AJ195,AJ188,AJ184,AJ167,AJ144,AJ121,AJ97,AJ77,AJ58,AJ38,AJ27,AJ23)=0," ",SUM(AJ195,AJ188,AJ184,AJ167,AJ144,AJ121,AJ97,AJ77,AJ58,AJ38,AJ27,AJ23))</f>
        <v>176</v>
      </c>
      <c r="AK24" s="72" t="str">
        <f aca="false">IF(SUM(AK167,AK144,AK121,AK97,AK77,AK58,AK38,AK23,AK27,AK195)=0," ",SUM(AK167,AK144,AK121,AK97,AK77,AK58,AK38,AK23,AK27,AK195))</f>
        <v> </v>
      </c>
      <c r="AL24" s="79" t="str">
        <f aca="false">IF(SUM(AL167,AL144,AL121,AL97,AL77,AL58,AL38,AL23,AL27,AL195)=0," ",SUM(AL167,AL144,AL121,AL97,AL77,AL58,AL38,AL23,AL27,AL195))</f>
        <v> </v>
      </c>
      <c r="AM24" s="69" t="n">
        <f aca="false">IF(SUM(AM195,AM188,AM184,AM167,AM144,AM121,AM97,AM77,AM58,AM27,AM23)=0," ",SUM(AM195,AM188,AM184,AM167,AM144,AM121,AM97,AM77,AM58,AM27,AM23))</f>
        <v>176</v>
      </c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</row>
    <row r="25" customFormat="false" ht="13.8" hidden="false" customHeight="false" outlineLevel="0" collapsed="false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</row>
    <row r="26" customFormat="false" ht="16.5" hidden="false" customHeight="true" outlineLevel="0" collapsed="false">
      <c r="A26" s="80"/>
      <c r="B26" s="81" t="s">
        <v>44</v>
      </c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</row>
    <row r="27" customFormat="false" ht="24.75" hidden="false" customHeight="true" outlineLevel="0" collapsed="false">
      <c r="A27" s="80"/>
      <c r="O27" s="82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</row>
    <row r="28" customFormat="false" ht="22.05" hidden="false" customHeight="false" outlineLevel="0" collapsed="false">
      <c r="A28" s="80"/>
      <c r="B28" s="83" t="s">
        <v>45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5"/>
      <c r="P28" s="84"/>
      <c r="W28" s="82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</row>
    <row r="29" customFormat="false" ht="22.05" hidden="false" customHeight="false" outlineLevel="0" collapsed="false">
      <c r="A29" s="80"/>
      <c r="B29" s="86" t="s">
        <v>46</v>
      </c>
      <c r="C29" s="86"/>
      <c r="D29" s="86"/>
      <c r="E29" s="86"/>
      <c r="F29" s="86"/>
      <c r="G29" s="86"/>
      <c r="H29" s="86"/>
      <c r="AB29" s="87" t="s">
        <v>47</v>
      </c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</row>
    <row r="30" customFormat="false" ht="13.8" hidden="false" customHeight="false" outlineLevel="0" collapsed="false">
      <c r="A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</row>
    <row r="31" customFormat="false" ht="13.8" hidden="false" customHeight="false" outlineLevel="0" collapsed="false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</row>
    <row r="32" customFormat="false" ht="13.8" hidden="false" customHeight="false" outlineLevel="0" collapsed="false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</row>
    <row r="33" customFormat="false" ht="13.8" hidden="false" customHeight="false" outlineLevel="0" collapsed="false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</row>
    <row r="34" customFormat="false" ht="13.8" hidden="false" customHeight="false" outlineLevel="0" collapsed="false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</row>
    <row r="35" customFormat="false" ht="13.8" hidden="false" customHeight="false" outlineLevel="0" collapsed="false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</row>
    <row r="36" customFormat="false" ht="13.8" hidden="false" customHeight="false" outlineLevel="0" collapsed="false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</row>
    <row r="37" customFormat="false" ht="13.8" hidden="false" customHeight="false" outlineLevel="0" collapsed="false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</row>
    <row r="38" customFormat="false" ht="25.5" hidden="false" customHeight="true" outlineLevel="0" collapsed="false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</row>
    <row r="39" customFormat="false" ht="13.8" hidden="false" customHeight="false" outlineLevel="0" collapsed="false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</row>
    <row r="40" customFormat="false" ht="13.8" hidden="false" customHeight="false" outlineLevel="0" collapsed="false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</row>
    <row r="41" customFormat="false" ht="13.8" hidden="false" customHeight="false" outlineLevel="0" collapsed="false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</row>
    <row r="42" customFormat="false" ht="13.8" hidden="false" customHeight="false" outlineLevel="0" collapsed="false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</row>
    <row r="43" customFormat="false" ht="13.8" hidden="false" customHeight="false" outlineLevel="0" collapsed="false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</row>
    <row r="44" customFormat="false" ht="13.8" hidden="false" customHeight="false" outlineLevel="0" collapsed="false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</row>
    <row r="45" customFormat="false" ht="13.8" hidden="false" customHeight="false" outlineLevel="0" collapsed="false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</row>
    <row r="46" customFormat="false" ht="13.8" hidden="false" customHeight="false" outlineLevel="0" collapsed="false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</row>
    <row r="47" customFormat="false" ht="13.8" hidden="false" customHeight="false" outlineLevel="0" collapsed="false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</row>
    <row r="48" customFormat="false" ht="13.8" hidden="false" customHeight="false" outlineLevel="0" collapsed="false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</row>
    <row r="49" customFormat="false" ht="13.8" hidden="false" customHeight="false" outlineLevel="0" collapsed="false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</row>
    <row r="50" customFormat="false" ht="13.8" hidden="false" customHeight="false" outlineLevel="0" collapsed="false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</row>
    <row r="51" customFormat="false" ht="13.8" hidden="false" customHeight="false" outlineLevel="0" collapsed="false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</row>
    <row r="52" customFormat="false" ht="13.8" hidden="false" customHeight="false" outlineLevel="0" collapsed="false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</row>
    <row r="53" customFormat="false" ht="13.8" hidden="false" customHeight="false" outlineLevel="0" collapsed="false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</row>
    <row r="54" customFormat="false" ht="13.8" hidden="false" customHeight="false" outlineLevel="0" collapsed="false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</row>
    <row r="55" customFormat="false" ht="13.8" hidden="false" customHeight="false" outlineLevel="0" collapsed="false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</row>
    <row r="56" customFormat="false" ht="13.8" hidden="false" customHeight="false" outlineLevel="0" collapsed="false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</row>
    <row r="57" customFormat="false" ht="13.8" hidden="false" customHeight="false" outlineLevel="0" collapsed="false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</row>
    <row r="58" customFormat="false" ht="21" hidden="false" customHeight="true" outlineLevel="0" collapsed="false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</row>
    <row r="59" customFormat="false" ht="13.8" hidden="false" customHeight="false" outlineLevel="0" collapsed="false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</row>
    <row r="60" customFormat="false" ht="13.8" hidden="false" customHeight="false" outlineLevel="0" collapsed="false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</row>
    <row r="61" customFormat="false" ht="13.8" hidden="false" customHeight="false" outlineLevel="0" collapsed="false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</row>
    <row r="62" customFormat="false" ht="13.8" hidden="false" customHeight="false" outlineLevel="0" collapsed="false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</row>
    <row r="63" customFormat="false" ht="13.8" hidden="false" customHeight="false" outlineLevel="0" collapsed="false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</row>
    <row r="64" customFormat="false" ht="13.8" hidden="false" customHeight="false" outlineLevel="0" collapsed="false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</row>
    <row r="65" customFormat="false" ht="13.8" hidden="false" customHeight="false" outlineLevel="0" collapsed="false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</row>
    <row r="66" customFormat="false" ht="13.8" hidden="false" customHeight="false" outlineLevel="0" collapsed="false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</row>
    <row r="67" customFormat="false" ht="13.8" hidden="false" customHeight="false" outlineLevel="0" collapsed="false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</row>
    <row r="68" customFormat="false" ht="13.8" hidden="false" customHeight="false" outlineLevel="0" collapsed="false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</row>
    <row r="69" customFormat="false" ht="13.8" hidden="false" customHeight="false" outlineLevel="0" collapsed="false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</row>
    <row r="70" customFormat="false" ht="13.8" hidden="false" customHeight="false" outlineLevel="0" collapsed="false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</row>
    <row r="71" customFormat="false" ht="13.8" hidden="false" customHeight="false" outlineLevel="0" collapsed="false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</row>
    <row r="72" customFormat="false" ht="13.8" hidden="false" customHeight="false" outlineLevel="0" collapsed="false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</row>
    <row r="73" customFormat="false" ht="13.8" hidden="false" customHeight="false" outlineLevel="0" collapsed="false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</row>
    <row r="74" customFormat="false" ht="13.8" hidden="false" customHeight="false" outlineLevel="0" collapsed="false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</row>
    <row r="75" customFormat="false" ht="13.8" hidden="false" customHeight="false" outlineLevel="0" collapsed="false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</row>
    <row r="76" customFormat="false" ht="13.8" hidden="false" customHeight="false" outlineLevel="0" collapsed="false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</row>
    <row r="77" customFormat="false" ht="21" hidden="false" customHeight="true" outlineLevel="0" collapsed="false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</row>
    <row r="78" customFormat="false" ht="13.8" hidden="false" customHeight="false" outlineLevel="0" collapsed="false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</row>
    <row r="79" customFormat="false" ht="13.8" hidden="false" customHeight="false" outlineLevel="0" collapsed="false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</row>
    <row r="80" customFormat="false" ht="13.8" hidden="false" customHeight="false" outlineLevel="0" collapsed="false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</row>
    <row r="81" customFormat="false" ht="13.8" hidden="false" customHeight="false" outlineLevel="0" collapsed="false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</row>
    <row r="82" customFormat="false" ht="13.8" hidden="false" customHeight="false" outlineLevel="0" collapsed="false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</row>
    <row r="83" customFormat="false" ht="13.8" hidden="false" customHeight="false" outlineLevel="0" collapsed="false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</row>
    <row r="84" customFormat="false" ht="13.8" hidden="false" customHeight="false" outlineLevel="0" collapsed="false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</row>
    <row r="85" customFormat="false" ht="13.8" hidden="false" customHeight="false" outlineLevel="0" collapsed="false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</row>
    <row r="86" customFormat="false" ht="13.8" hidden="false" customHeight="false" outlineLevel="0" collapsed="false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</row>
    <row r="87" customFormat="false" ht="13.8" hidden="false" customHeight="false" outlineLevel="0" collapsed="false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</row>
    <row r="88" customFormat="false" ht="13.8" hidden="false" customHeight="false" outlineLevel="0" collapsed="false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</row>
    <row r="89" customFormat="false" ht="13.8" hidden="false" customHeight="false" outlineLevel="0" collapsed="false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</row>
    <row r="90" customFormat="false" ht="13.8" hidden="false" customHeight="false" outlineLevel="0" collapsed="false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</row>
    <row r="91" customFormat="false" ht="13.8" hidden="false" customHeight="false" outlineLevel="0" collapsed="false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</row>
    <row r="92" customFormat="false" ht="13.8" hidden="false" customHeight="false" outlineLevel="0" collapsed="false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</row>
    <row r="93" customFormat="false" ht="13.8" hidden="false" customHeight="false" outlineLevel="0" collapsed="false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</row>
    <row r="94" customFormat="false" ht="13.8" hidden="false" customHeight="false" outlineLevel="0" collapsed="false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</row>
    <row r="95" customFormat="false" ht="13.8" hidden="false" customHeight="false" outlineLevel="0" collapsed="false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</row>
    <row r="96" customFormat="false" ht="13.8" hidden="false" customHeight="false" outlineLevel="0" collapsed="false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</row>
    <row r="97" customFormat="false" ht="21" hidden="false" customHeight="true" outlineLevel="0" collapsed="false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</row>
    <row r="98" customFormat="false" ht="13.8" hidden="false" customHeight="false" outlineLevel="0" collapsed="false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</row>
    <row r="99" customFormat="false" ht="13.8" hidden="false" customHeight="false" outlineLevel="0" collapsed="false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</row>
    <row r="100" customFormat="false" ht="13.8" hidden="false" customHeight="false" outlineLevel="0" collapsed="false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</row>
    <row r="101" customFormat="false" ht="13.8" hidden="false" customHeight="false" outlineLevel="0" collapsed="false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</row>
    <row r="102" customFormat="false" ht="13.8" hidden="false" customHeight="false" outlineLevel="0" collapsed="false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</row>
    <row r="103" customFormat="false" ht="13.8" hidden="false" customHeight="false" outlineLevel="0" collapsed="false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</row>
    <row r="104" customFormat="false" ht="13.8" hidden="false" customHeight="false" outlineLevel="0" collapsed="false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</row>
    <row r="105" customFormat="false" ht="13.8" hidden="false" customHeight="false" outlineLevel="0" collapsed="false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</row>
    <row r="106" customFormat="false" ht="13.8" hidden="false" customHeight="false" outlineLevel="0" collapsed="false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</row>
    <row r="107" customFormat="false" ht="13.8" hidden="false" customHeight="false" outlineLevel="0" collapsed="false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</row>
    <row r="108" customFormat="false" ht="13.8" hidden="false" customHeight="false" outlineLevel="0" collapsed="false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</row>
    <row r="109" customFormat="false" ht="13.8" hidden="false" customHeight="false" outlineLevel="0" collapsed="false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</row>
    <row r="110" customFormat="false" ht="13.8" hidden="false" customHeight="false" outlineLevel="0" collapsed="false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</row>
    <row r="111" customFormat="false" ht="13.8" hidden="false" customHeight="false" outlineLevel="0" collapsed="false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</row>
    <row r="112" customFormat="false" ht="13.8" hidden="false" customHeight="false" outlineLevel="0" collapsed="false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</row>
    <row r="113" customFormat="false" ht="13.8" hidden="false" customHeight="false" outlineLevel="0" collapsed="false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</row>
    <row r="114" customFormat="false" ht="13.8" hidden="false" customHeight="false" outlineLevel="0" collapsed="false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</row>
    <row r="115" customFormat="false" ht="13.8" hidden="false" customHeight="false" outlineLevel="0" collapsed="false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</row>
    <row r="116" customFormat="false" ht="13.8" hidden="false" customHeight="false" outlineLevel="0" collapsed="false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</row>
    <row r="117" customFormat="false" ht="13.8" hidden="false" customHeight="false" outlineLevel="0" collapsed="false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</row>
    <row r="118" customFormat="false" ht="13.8" hidden="false" customHeight="false" outlineLevel="0" collapsed="false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</row>
    <row r="119" customFormat="false" ht="13.8" hidden="false" customHeight="false" outlineLevel="0" collapsed="false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</row>
    <row r="120" customFormat="false" ht="13.8" hidden="false" customHeight="false" outlineLevel="0" collapsed="false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</row>
    <row r="121" customFormat="false" ht="21" hidden="false" customHeight="true" outlineLevel="0" collapsed="false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</row>
    <row r="122" customFormat="false" ht="13.8" hidden="false" customHeight="false" outlineLevel="0" collapsed="false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</row>
    <row r="123" customFormat="false" ht="13.8" hidden="false" customHeight="false" outlineLevel="0" collapsed="false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</row>
    <row r="124" customFormat="false" ht="13.8" hidden="false" customHeight="false" outlineLevel="0" collapsed="false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</row>
    <row r="125" customFormat="false" ht="13.8" hidden="false" customHeight="false" outlineLevel="0" collapsed="false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</row>
    <row r="126" customFormat="false" ht="13.8" hidden="false" customHeight="false" outlineLevel="0" collapsed="false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</row>
    <row r="127" customFormat="false" ht="13.8" hidden="false" customHeight="false" outlineLevel="0" collapsed="false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</row>
    <row r="128" customFormat="false" ht="13.8" hidden="false" customHeight="false" outlineLevel="0" collapsed="false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</row>
    <row r="129" customFormat="false" ht="13.8" hidden="false" customHeight="false" outlineLevel="0" collapsed="false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</row>
    <row r="130" customFormat="false" ht="13.8" hidden="false" customHeight="false" outlineLevel="0" collapsed="false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</row>
    <row r="131" customFormat="false" ht="13.8" hidden="false" customHeight="false" outlineLevel="0" collapsed="false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</row>
    <row r="132" customFormat="false" ht="13.8" hidden="false" customHeight="false" outlineLevel="0" collapsed="false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</row>
    <row r="133" customFormat="false" ht="13.8" hidden="false" customHeight="false" outlineLevel="0" collapsed="false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</row>
    <row r="134" customFormat="false" ht="13.8" hidden="false" customHeight="false" outlineLevel="0" collapsed="false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</row>
    <row r="135" customFormat="false" ht="13.8" hidden="false" customHeight="false" outlineLevel="0" collapsed="false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</row>
    <row r="136" customFormat="false" ht="13.8" hidden="false" customHeight="false" outlineLevel="0" collapsed="false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</row>
    <row r="137" customFormat="false" ht="13.8" hidden="false" customHeight="false" outlineLevel="0" collapsed="false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</row>
    <row r="138" customFormat="false" ht="13.8" hidden="false" customHeight="false" outlineLevel="0" collapsed="false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</row>
    <row r="139" customFormat="false" ht="13.8" hidden="false" customHeight="false" outlineLevel="0" collapsed="false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</row>
    <row r="140" customFormat="false" ht="13.8" hidden="false" customHeight="false" outlineLevel="0" collapsed="false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</row>
    <row r="141" customFormat="false" ht="13.8" hidden="false" customHeight="false" outlineLevel="0" collapsed="false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</row>
    <row r="142" customFormat="false" ht="13.8" hidden="false" customHeight="false" outlineLevel="0" collapsed="false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</row>
    <row r="143" customFormat="false" ht="13.8" hidden="false" customHeight="false" outlineLevel="0" collapsed="false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</row>
    <row r="144" customFormat="false" ht="21" hidden="false" customHeight="true" outlineLevel="0" collapsed="false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</row>
    <row r="145" customFormat="false" ht="13.8" hidden="false" customHeight="false" outlineLevel="0" collapsed="false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</row>
    <row r="146" customFormat="false" ht="13.8" hidden="false" customHeight="false" outlineLevel="0" collapsed="false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</row>
    <row r="147" customFormat="false" ht="13.8" hidden="false" customHeight="false" outlineLevel="0" collapsed="false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</row>
    <row r="148" customFormat="false" ht="13.8" hidden="false" customHeight="false" outlineLevel="0" collapsed="false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</row>
    <row r="149" customFormat="false" ht="13.8" hidden="false" customHeight="false" outlineLevel="0" collapsed="false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</row>
    <row r="150" customFormat="false" ht="13.8" hidden="false" customHeight="false" outlineLevel="0" collapsed="false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</row>
    <row r="151" customFormat="false" ht="13.8" hidden="false" customHeight="false" outlineLevel="0" collapsed="false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</row>
    <row r="152" customFormat="false" ht="13.8" hidden="false" customHeight="false" outlineLevel="0" collapsed="false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</row>
    <row r="153" customFormat="false" ht="13.8" hidden="false" customHeight="false" outlineLevel="0" collapsed="false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</row>
    <row r="154" customFormat="false" ht="13.8" hidden="false" customHeight="false" outlineLevel="0" collapsed="false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</row>
    <row r="155" customFormat="false" ht="13.8" hidden="false" customHeight="false" outlineLevel="0" collapsed="false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</row>
    <row r="156" customFormat="false" ht="13.8" hidden="false" customHeight="false" outlineLevel="0" collapsed="false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</row>
    <row r="157" customFormat="false" ht="13.8" hidden="false" customHeight="false" outlineLevel="0" collapsed="false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</row>
    <row r="158" customFormat="false" ht="13.8" hidden="false" customHeight="false" outlineLevel="0" collapsed="false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</row>
    <row r="159" customFormat="false" ht="13.8" hidden="false" customHeight="false" outlineLevel="0" collapsed="false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</row>
    <row r="160" customFormat="false" ht="13.8" hidden="false" customHeight="false" outlineLevel="0" collapsed="false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</row>
    <row r="161" customFormat="false" ht="13.8" hidden="false" customHeight="false" outlineLevel="0" collapsed="false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</row>
    <row r="162" customFormat="false" ht="13.8" hidden="false" customHeight="false" outlineLevel="0" collapsed="false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</row>
    <row r="163" customFormat="false" ht="13.8" hidden="false" customHeight="false" outlineLevel="0" collapsed="false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</row>
    <row r="164" customFormat="false" ht="13.8" hidden="false" customHeight="false" outlineLevel="0" collapsed="false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</row>
    <row r="165" customFormat="false" ht="13.8" hidden="false" customHeight="false" outlineLevel="0" collapsed="false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</row>
    <row r="166" customFormat="false" ht="13.8" hidden="false" customHeight="false" outlineLevel="0" collapsed="false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</row>
    <row r="167" customFormat="false" ht="21" hidden="false" customHeight="true" outlineLevel="0" collapsed="false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</row>
    <row r="168" customFormat="false" ht="16.5" hidden="false" customHeight="true" outlineLevel="0" collapsed="false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</row>
    <row r="169" customFormat="false" ht="16.5" hidden="false" customHeight="true" outlineLevel="0" collapsed="false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</row>
    <row r="170" customFormat="false" ht="16.5" hidden="false" customHeight="true" outlineLevel="0" collapsed="false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</row>
    <row r="171" customFormat="false" ht="16.5" hidden="false" customHeight="true" outlineLevel="0" collapsed="false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</row>
    <row r="172" customFormat="false" ht="16.5" hidden="false" customHeight="true" outlineLevel="0" collapsed="false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</row>
    <row r="173" customFormat="false" ht="16.5" hidden="false" customHeight="true" outlineLevel="0" collapsed="false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</row>
    <row r="174" customFormat="false" ht="16.5" hidden="false" customHeight="true" outlineLevel="0" collapsed="false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</row>
    <row r="175" customFormat="false" ht="16.5" hidden="false" customHeight="true" outlineLevel="0" collapsed="false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</row>
    <row r="176" customFormat="false" ht="16.5" hidden="false" customHeight="true" outlineLevel="0" collapsed="false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</row>
    <row r="177" customFormat="false" ht="16.5" hidden="false" customHeight="true" outlineLevel="0" collapsed="false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</row>
    <row r="178" customFormat="false" ht="16.5" hidden="false" customHeight="true" outlineLevel="0" collapsed="false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</row>
    <row r="179" customFormat="false" ht="15" hidden="false" customHeight="true" outlineLevel="0" collapsed="false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</row>
    <row r="180" customFormat="false" ht="15" hidden="false" customHeight="true" outlineLevel="0" collapsed="false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</row>
    <row r="181" customFormat="false" ht="15" hidden="false" customHeight="true" outlineLevel="0" collapsed="false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</row>
    <row r="182" customFormat="false" ht="15" hidden="false" customHeight="true" outlineLevel="0" collapsed="false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</row>
    <row r="183" customFormat="false" ht="15" hidden="false" customHeight="true" outlineLevel="0" collapsed="false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</row>
    <row r="184" customFormat="false" ht="21" hidden="false" customHeight="true" outlineLevel="0" collapsed="false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</row>
    <row r="185" customFormat="false" ht="16.5" hidden="false" customHeight="true" outlineLevel="0" collapsed="false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</row>
    <row r="186" customFormat="false" ht="15.75" hidden="false" customHeight="true" outlineLevel="0" collapsed="false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</row>
    <row r="187" customFormat="false" ht="19.5" hidden="false" customHeight="true" outlineLevel="0" collapsed="false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</row>
    <row r="188" customFormat="false" ht="21" hidden="false" customHeight="true" outlineLevel="0" collapsed="false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</row>
    <row r="189" customFormat="false" ht="16.5" hidden="false" customHeight="true" outlineLevel="0" collapsed="false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</row>
    <row r="190" customFormat="false" ht="16.5" hidden="false" customHeight="true" outlineLevel="0" collapsed="false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</row>
    <row r="191" customFormat="false" ht="16.5" hidden="false" customHeight="true" outlineLevel="0" collapsed="false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</row>
    <row r="192" customFormat="false" ht="16.5" hidden="false" customHeight="true" outlineLevel="0" collapsed="false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</row>
    <row r="193" customFormat="false" ht="15.75" hidden="false" customHeight="true" outlineLevel="0" collapsed="false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</row>
    <row r="194" customFormat="false" ht="15.75" hidden="false" customHeight="true" outlineLevel="0" collapsed="false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</row>
    <row r="195" customFormat="false" ht="17.25" hidden="false" customHeight="true" outlineLevel="0" collapsed="false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</row>
    <row r="196" customFormat="false" ht="21" hidden="false" customHeight="true" outlineLevel="0" collapsed="false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88"/>
      <c r="BQ196" s="88"/>
      <c r="BR196" s="88"/>
    </row>
    <row r="197" customFormat="false" ht="15.75" hidden="false" customHeight="false" outlineLevel="0" collapsed="false">
      <c r="A197" s="82"/>
      <c r="B197" s="89"/>
      <c r="C197" s="82"/>
      <c r="D197" s="82"/>
      <c r="E197" s="82"/>
      <c r="F197" s="82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1"/>
      <c r="AM197" s="90"/>
    </row>
    <row r="198" customFormat="false" ht="13.8" hidden="false" customHeight="false" outlineLevel="0" collapsed="false">
      <c r="A198" s="82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</row>
    <row r="199" customFormat="false" ht="18" hidden="false" customHeight="true" outlineLevel="0" collapsed="false"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</row>
    <row r="200" customFormat="false" ht="13.8" hidden="false" customHeight="false" outlineLevel="0" collapsed="false"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</row>
    <row r="201" customFormat="false" ht="13.8" hidden="false" customHeight="false" outlineLevel="0" collapsed="false"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</row>
    <row r="202" customFormat="false" ht="13.8" hidden="false" customHeight="false" outlineLevel="0" collapsed="false"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</row>
    <row r="207" customFormat="false" ht="15.75" hidden="false" customHeight="false" outlineLevel="0" collapsed="false"/>
    <row r="208" customFormat="false" ht="15" hidden="false" customHeight="false" outlineLevel="0" collapsed="false">
      <c r="C208" s="92"/>
    </row>
  </sheetData>
  <mergeCells count="44">
    <mergeCell ref="AE1:AM1"/>
    <mergeCell ref="AC2:AM2"/>
    <mergeCell ref="A11:AM11"/>
    <mergeCell ref="A15:A18"/>
    <mergeCell ref="B15:B18"/>
    <mergeCell ref="C15:C18"/>
    <mergeCell ref="D15:D18"/>
    <mergeCell ref="E15:E18"/>
    <mergeCell ref="F15:F18"/>
    <mergeCell ref="G15:AH15"/>
    <mergeCell ref="AI15:AI18"/>
    <mergeCell ref="AJ15:AJ18"/>
    <mergeCell ref="AK15:AK18"/>
    <mergeCell ref="AL15:AL18"/>
    <mergeCell ref="AM15:AM18"/>
    <mergeCell ref="G16:T16"/>
    <mergeCell ref="U16:AH16"/>
    <mergeCell ref="G17:G18"/>
    <mergeCell ref="H17:H18"/>
    <mergeCell ref="I17:J17"/>
    <mergeCell ref="K17:L17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V17:V18"/>
    <mergeCell ref="W17:X17"/>
    <mergeCell ref="Y17:Z17"/>
    <mergeCell ref="AA17:AA18"/>
    <mergeCell ref="AB17:AB18"/>
    <mergeCell ref="AC17:AC18"/>
    <mergeCell ref="AD17:AD18"/>
    <mergeCell ref="AE17:AE18"/>
    <mergeCell ref="AF17:AF18"/>
    <mergeCell ref="AG17:AG18"/>
    <mergeCell ref="AH17:AH18"/>
    <mergeCell ref="B26:AM26"/>
    <mergeCell ref="B29:H29"/>
    <mergeCell ref="AB29:AM29"/>
  </mergeCells>
  <printOptions headings="false" gridLines="false" gridLinesSet="true" horizontalCentered="false" verticalCentered="false"/>
  <pageMargins left="0.275694444444444" right="0.236111111111111" top="0.470138888888889" bottom="0.23611111111111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264"/>
  <sheetViews>
    <sheetView showFormulas="false" showGridLines="true" showRowColHeaders="true" showZeros="true" rightToLeft="false" tabSelected="false" showOutlineSymbols="true" defaultGridColor="true" view="pageBreakPreview" topLeftCell="A25" colorId="64" zoomScale="70" zoomScaleNormal="66" zoomScalePageLayoutView="70" workbookViewId="0">
      <selection pane="topLeft" activeCell="AG36" activeCellId="0" sqref="AG3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20.14"/>
    <col collapsed="false" customWidth="true" hidden="false" outlineLevel="0" max="3" min="3" style="1" width="33.86"/>
    <col collapsed="false" customWidth="true" hidden="false" outlineLevel="0" max="4" min="4" style="1" width="3.71"/>
    <col collapsed="false" customWidth="true" hidden="false" outlineLevel="0" max="5" min="5" style="1" width="8.42"/>
    <col collapsed="false" customWidth="true" hidden="false" outlineLevel="0" max="6" min="6" style="1" width="3.86"/>
    <col collapsed="false" customWidth="true" hidden="false" outlineLevel="0" max="7" min="7" style="1" width="5.57"/>
    <col collapsed="false" customWidth="true" hidden="false" outlineLevel="0" max="8" min="8" style="1" width="5.14"/>
    <col collapsed="false" customWidth="true" hidden="false" outlineLevel="0" max="9" min="9" style="1" width="6.85"/>
    <col collapsed="false" customWidth="true" hidden="false" outlineLevel="0" max="10" min="10" style="1" width="7"/>
    <col collapsed="false" customWidth="true" hidden="false" outlineLevel="0" max="11" min="11" style="1" width="6.85"/>
    <col collapsed="false" customWidth="true" hidden="false" outlineLevel="0" max="12" min="12" style="1" width="7"/>
    <col collapsed="false" customWidth="true" hidden="false" outlineLevel="0" max="13" min="13" style="1" width="6.29"/>
    <col collapsed="false" customWidth="true" hidden="false" outlineLevel="0" max="14" min="14" style="1" width="6"/>
    <col collapsed="false" customWidth="true" hidden="false" outlineLevel="0" max="15" min="15" style="1" width="7.29"/>
    <col collapsed="false" customWidth="true" hidden="false" outlineLevel="0" max="16" min="16" style="1" width="6.43"/>
    <col collapsed="false" customWidth="true" hidden="false" outlineLevel="0" max="17" min="17" style="1" width="6"/>
    <col collapsed="false" customWidth="true" hidden="false" outlineLevel="0" max="18" min="18" style="1" width="5.29"/>
    <col collapsed="false" customWidth="true" hidden="false" outlineLevel="0" max="19" min="19" style="1" width="5.86"/>
    <col collapsed="false" customWidth="true" hidden="false" outlineLevel="0" max="20" min="20" style="1" width="6.57"/>
    <col collapsed="false" customWidth="true" hidden="false" outlineLevel="0" max="22" min="21" style="1" width="6"/>
    <col collapsed="false" customWidth="true" hidden="false" outlineLevel="0" max="23" min="23" style="1" width="6.85"/>
    <col collapsed="false" customWidth="true" hidden="false" outlineLevel="0" max="25" min="24" style="1" width="7.57"/>
    <col collapsed="false" customWidth="true" hidden="false" outlineLevel="0" max="26" min="26" style="1" width="7"/>
    <col collapsed="false" customWidth="true" hidden="false" outlineLevel="0" max="27" min="27" style="1" width="5.14"/>
    <col collapsed="false" customWidth="true" hidden="false" outlineLevel="0" max="28" min="28" style="1" width="6"/>
    <col collapsed="false" customWidth="true" hidden="false" outlineLevel="0" max="29" min="29" style="1" width="6.85"/>
    <col collapsed="false" customWidth="true" hidden="false" outlineLevel="0" max="30" min="30" style="1" width="6.14"/>
    <col collapsed="false" customWidth="true" hidden="false" outlineLevel="0" max="31" min="31" style="1" width="7.29"/>
    <col collapsed="false" customWidth="true" hidden="false" outlineLevel="0" max="32" min="32" style="1" width="7.16"/>
    <col collapsed="false" customWidth="true" hidden="false" outlineLevel="0" max="33" min="33" style="1" width="7.42"/>
    <col collapsed="false" customWidth="true" hidden="false" outlineLevel="0" max="34" min="34" style="1" width="6"/>
    <col collapsed="false" customWidth="true" hidden="false" outlineLevel="0" max="35" min="35" style="1" width="7"/>
    <col collapsed="false" customWidth="true" hidden="false" outlineLevel="0" max="36" min="36" style="1" width="6.57"/>
    <col collapsed="false" customWidth="true" hidden="true" outlineLevel="0" max="37" min="37" style="1" width="1.29"/>
    <col collapsed="false" customWidth="true" hidden="false" outlineLevel="0" max="38" min="38" style="1" width="7.71"/>
    <col collapsed="false" customWidth="true" hidden="false" outlineLevel="0" max="39" min="39" style="1" width="8.42"/>
    <col collapsed="false" customWidth="false" hidden="false" outlineLevel="0" max="16384" min="40" style="1" width="9.14"/>
  </cols>
  <sheetData>
    <row r="1" customFormat="false" ht="21" hidden="false" customHeight="true" outlineLevel="0" collapsed="false">
      <c r="A1" s="3"/>
      <c r="B1" s="3"/>
      <c r="C1" s="3"/>
      <c r="D1" s="3"/>
      <c r="E1" s="4"/>
      <c r="F1" s="4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5"/>
      <c r="AD1" s="5"/>
      <c r="AE1" s="6"/>
      <c r="AF1" s="6"/>
      <c r="AG1" s="6"/>
      <c r="AH1" s="6"/>
      <c r="AI1" s="6"/>
      <c r="AJ1" s="6"/>
      <c r="AK1" s="6"/>
      <c r="AL1" s="6"/>
      <c r="AM1" s="6"/>
      <c r="AN1" s="4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</row>
    <row r="2" customFormat="false" ht="19.5" hidden="false" customHeight="true" outlineLevel="0" collapsed="false">
      <c r="A2" s="3"/>
      <c r="B2" s="3"/>
      <c r="C2" s="3"/>
      <c r="D2" s="3"/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3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</row>
    <row r="3" customFormat="false" ht="18.75" hidden="false" customHeight="false" outlineLevel="0" collapsed="false">
      <c r="A3" s="3"/>
      <c r="B3" s="3"/>
      <c r="C3" s="3"/>
      <c r="D3" s="3"/>
      <c r="E3" s="4"/>
      <c r="F3" s="4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5"/>
      <c r="AD3" s="9"/>
      <c r="AE3" s="9"/>
      <c r="AF3" s="5"/>
      <c r="AG3" s="5"/>
      <c r="AH3" s="5"/>
      <c r="AI3" s="5"/>
      <c r="AJ3" s="5"/>
      <c r="AK3" s="5"/>
      <c r="AL3" s="5"/>
      <c r="AM3" s="11"/>
      <c r="AN3" s="3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</row>
    <row r="4" customFormat="false" ht="21" hidden="false" customHeight="true" outlineLevel="0" collapsed="false">
      <c r="A4" s="3"/>
      <c r="B4" s="3"/>
      <c r="C4" s="3"/>
      <c r="D4" s="3"/>
      <c r="E4" s="4"/>
      <c r="F4" s="4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9"/>
      <c r="AD4" s="9"/>
      <c r="AE4" s="9"/>
      <c r="AF4" s="9"/>
      <c r="AG4" s="9"/>
      <c r="AH4" s="9"/>
      <c r="AI4" s="9"/>
      <c r="AJ4" s="9"/>
      <c r="AK4" s="9"/>
      <c r="AL4" s="11"/>
      <c r="AM4" s="13"/>
      <c r="AN4" s="14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</row>
    <row r="5" customFormat="false" ht="19.5" hidden="false" customHeight="true" outlineLevel="0" collapsed="false">
      <c r="A5" s="3"/>
      <c r="B5" s="3"/>
      <c r="C5" s="3"/>
      <c r="D5" s="3"/>
      <c r="E5" s="4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9"/>
      <c r="AD5" s="9"/>
      <c r="AE5" s="9"/>
      <c r="AF5" s="9"/>
      <c r="AG5" s="9"/>
      <c r="AH5" s="9"/>
      <c r="AI5" s="9"/>
      <c r="AJ5" s="9"/>
      <c r="AK5" s="9"/>
      <c r="AL5" s="11"/>
      <c r="AM5" s="13"/>
      <c r="AN5" s="14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</row>
    <row r="6" customFormat="false" ht="19.5" hidden="false" customHeight="true" outlineLevel="0" collapsed="false">
      <c r="A6" s="3"/>
      <c r="B6" s="3"/>
      <c r="C6" s="3"/>
      <c r="D6" s="3"/>
      <c r="E6" s="4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9"/>
      <c r="AD6" s="9"/>
      <c r="AE6" s="9"/>
      <c r="AF6" s="9"/>
      <c r="AG6" s="9"/>
      <c r="AH6" s="9"/>
      <c r="AI6" s="9"/>
      <c r="AJ6" s="9"/>
      <c r="AK6" s="9"/>
      <c r="AL6" s="11"/>
      <c r="AM6" s="13"/>
      <c r="AN6" s="14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</row>
    <row r="7" customFormat="false" ht="9" hidden="false" customHeight="true" outlineLevel="0" collapsed="false">
      <c r="A7" s="3"/>
      <c r="B7" s="3"/>
      <c r="C7" s="3"/>
      <c r="D7" s="3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9"/>
      <c r="AD7" s="9"/>
      <c r="AE7" s="9"/>
      <c r="AF7" s="9"/>
      <c r="AG7" s="9"/>
      <c r="AH7" s="9"/>
      <c r="AI7" s="9"/>
      <c r="AJ7" s="9"/>
      <c r="AK7" s="9"/>
      <c r="AL7" s="11"/>
      <c r="AM7" s="13"/>
      <c r="AN7" s="14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</row>
    <row r="8" customFormat="false" ht="9" hidden="false" customHeight="true" outlineLevel="0" collapsed="false">
      <c r="A8" s="3"/>
      <c r="B8" s="3"/>
      <c r="C8" s="3"/>
      <c r="D8" s="3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9"/>
      <c r="AD8" s="9"/>
      <c r="AE8" s="9"/>
      <c r="AF8" s="9"/>
      <c r="AG8" s="9"/>
      <c r="AH8" s="9"/>
      <c r="AI8" s="9"/>
      <c r="AJ8" s="9"/>
      <c r="AK8" s="9"/>
      <c r="AL8" s="11"/>
      <c r="AM8" s="13"/>
      <c r="AN8" s="14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</row>
    <row r="9" customFormat="false" ht="9" hidden="false" customHeight="true" outlineLevel="0" collapsed="false">
      <c r="A9" s="3"/>
      <c r="B9" s="3"/>
      <c r="C9" s="3"/>
      <c r="D9" s="3"/>
      <c r="E9" s="4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9"/>
      <c r="AD9" s="9"/>
      <c r="AE9" s="9"/>
      <c r="AF9" s="9"/>
      <c r="AG9" s="9"/>
      <c r="AH9" s="9"/>
      <c r="AI9" s="9"/>
      <c r="AJ9" s="9"/>
      <c r="AK9" s="9"/>
      <c r="AL9" s="11"/>
      <c r="AM9" s="13"/>
      <c r="AN9" s="14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</row>
    <row r="10" customFormat="false" ht="9.75" hidden="false" customHeight="true" outlineLevel="0" collapsed="false">
      <c r="A10" s="3"/>
      <c r="B10" s="3"/>
      <c r="C10" s="3"/>
      <c r="D10" s="3"/>
      <c r="E10" s="4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9"/>
      <c r="AD10" s="9"/>
      <c r="AE10" s="9"/>
      <c r="AF10" s="9"/>
      <c r="AG10" s="9"/>
      <c r="AH10" s="9"/>
      <c r="AI10" s="9"/>
      <c r="AJ10" s="9"/>
      <c r="AK10" s="9"/>
      <c r="AL10" s="11"/>
      <c r="AM10" s="13"/>
      <c r="AN10" s="14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</row>
    <row r="11" customFormat="false" ht="4.5" hidden="false" customHeight="true" outlineLevel="0" collapsed="false">
      <c r="A11" s="3"/>
      <c r="B11" s="3"/>
      <c r="C11" s="3"/>
      <c r="D11" s="3"/>
      <c r="E11" s="4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9"/>
      <c r="AD11" s="9"/>
      <c r="AE11" s="9"/>
      <c r="AF11" s="9"/>
      <c r="AG11" s="9"/>
      <c r="AH11" s="9"/>
      <c r="AI11" s="9"/>
      <c r="AJ11" s="9"/>
      <c r="AK11" s="9"/>
      <c r="AL11" s="11"/>
      <c r="AM11" s="13"/>
      <c r="AN11" s="14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</row>
    <row r="12" customFormat="false" ht="14.25" hidden="true" customHeight="true" outlineLevel="0" collapsed="false">
      <c r="A12" s="3"/>
      <c r="B12" s="3"/>
      <c r="C12" s="3"/>
      <c r="D12" s="3"/>
      <c r="E12" s="4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9"/>
      <c r="AD12" s="9"/>
      <c r="AE12" s="9"/>
      <c r="AF12" s="9"/>
      <c r="AG12" s="9"/>
      <c r="AH12" s="9"/>
      <c r="AI12" s="9"/>
      <c r="AJ12" s="9"/>
      <c r="AK12" s="9"/>
      <c r="AL12" s="11"/>
      <c r="AM12" s="13"/>
      <c r="AN12" s="14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</row>
    <row r="13" customFormat="false" ht="43.5" hidden="false" customHeight="true" outlineLevel="0" collapsed="false">
      <c r="A13" s="15" t="s">
        <v>48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6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3"/>
    </row>
    <row r="14" customFormat="false" ht="18" hidden="true" customHeight="tru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6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3"/>
    </row>
    <row r="15" customFormat="false" ht="7.5" hidden="true" customHeight="tru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6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3"/>
    </row>
    <row r="16" customFormat="false" ht="7.5" hidden="false" customHeight="tru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6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3"/>
    </row>
    <row r="17" customFormat="false" ht="7.5" hidden="false" customHeight="tru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6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3"/>
    </row>
    <row r="18" customFormat="false" ht="22.5" hidden="false" customHeight="true" outlineLevel="0" collapsed="false">
      <c r="A18" s="3"/>
      <c r="B18" s="3"/>
      <c r="C18" s="3"/>
      <c r="D18" s="4"/>
      <c r="E18" s="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19"/>
      <c r="X18" s="19"/>
      <c r="Y18" s="19"/>
      <c r="Z18" s="19"/>
      <c r="AA18" s="19"/>
      <c r="AB18" s="19"/>
      <c r="AC18" s="19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16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3"/>
    </row>
    <row r="19" customFormat="false" ht="13.5" hidden="false" customHeight="true" outlineLevel="0" collapsed="false">
      <c r="A19" s="93" t="s">
        <v>1</v>
      </c>
      <c r="B19" s="94" t="s">
        <v>49</v>
      </c>
      <c r="C19" s="94" t="s">
        <v>3</v>
      </c>
      <c r="D19" s="24" t="s">
        <v>50</v>
      </c>
      <c r="E19" s="24" t="s">
        <v>51</v>
      </c>
      <c r="F19" s="25" t="s">
        <v>52</v>
      </c>
      <c r="G19" s="26" t="s">
        <v>7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7" t="s">
        <v>8</v>
      </c>
      <c r="AJ19" s="28" t="s">
        <v>9</v>
      </c>
      <c r="AK19" s="29" t="s">
        <v>10</v>
      </c>
      <c r="AL19" s="95" t="s">
        <v>53</v>
      </c>
      <c r="AM19" s="31" t="s">
        <v>12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32"/>
    </row>
    <row r="20" customFormat="false" ht="16.5" hidden="false" customHeight="false" outlineLevel="0" collapsed="false">
      <c r="A20" s="93"/>
      <c r="B20" s="94"/>
      <c r="C20" s="94"/>
      <c r="D20" s="24"/>
      <c r="E20" s="24"/>
      <c r="F20" s="25"/>
      <c r="G20" s="33" t="s">
        <v>13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 t="s">
        <v>14</v>
      </c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27"/>
      <c r="AJ20" s="28"/>
      <c r="AK20" s="29"/>
      <c r="AL20" s="95"/>
      <c r="AM20" s="31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</row>
    <row r="21" customFormat="false" ht="33.75" hidden="false" customHeight="true" outlineLevel="0" collapsed="false">
      <c r="A21" s="93"/>
      <c r="B21" s="94"/>
      <c r="C21" s="94"/>
      <c r="D21" s="24"/>
      <c r="E21" s="24"/>
      <c r="F21" s="25"/>
      <c r="G21" s="29" t="s">
        <v>15</v>
      </c>
      <c r="H21" s="24" t="s">
        <v>16</v>
      </c>
      <c r="I21" s="34" t="s">
        <v>17</v>
      </c>
      <c r="J21" s="34"/>
      <c r="K21" s="34" t="s">
        <v>18</v>
      </c>
      <c r="L21" s="34"/>
      <c r="M21" s="35" t="s">
        <v>19</v>
      </c>
      <c r="N21" s="35" t="s">
        <v>20</v>
      </c>
      <c r="O21" s="24" t="s">
        <v>21</v>
      </c>
      <c r="P21" s="35" t="s">
        <v>22</v>
      </c>
      <c r="Q21" s="35" t="s">
        <v>23</v>
      </c>
      <c r="R21" s="35" t="s">
        <v>24</v>
      </c>
      <c r="S21" s="36" t="s">
        <v>25</v>
      </c>
      <c r="T21" s="37" t="s">
        <v>26</v>
      </c>
      <c r="U21" s="29" t="s">
        <v>15</v>
      </c>
      <c r="V21" s="24" t="s">
        <v>16</v>
      </c>
      <c r="W21" s="34" t="s">
        <v>17</v>
      </c>
      <c r="X21" s="34"/>
      <c r="Y21" s="34" t="s">
        <v>18</v>
      </c>
      <c r="Z21" s="34"/>
      <c r="AA21" s="35" t="s">
        <v>19</v>
      </c>
      <c r="AB21" s="35" t="s">
        <v>20</v>
      </c>
      <c r="AC21" s="24" t="s">
        <v>21</v>
      </c>
      <c r="AD21" s="35" t="s">
        <v>27</v>
      </c>
      <c r="AE21" s="35" t="s">
        <v>23</v>
      </c>
      <c r="AF21" s="35" t="s">
        <v>24</v>
      </c>
      <c r="AG21" s="36" t="s">
        <v>25</v>
      </c>
      <c r="AH21" s="28" t="s">
        <v>26</v>
      </c>
      <c r="AI21" s="27"/>
      <c r="AJ21" s="28"/>
      <c r="AK21" s="29"/>
      <c r="AL21" s="95"/>
      <c r="AM21" s="31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</row>
    <row r="22" customFormat="false" ht="234" hidden="false" customHeight="true" outlineLevel="0" collapsed="false">
      <c r="A22" s="93"/>
      <c r="B22" s="94"/>
      <c r="C22" s="94"/>
      <c r="D22" s="24"/>
      <c r="E22" s="24"/>
      <c r="F22" s="25"/>
      <c r="G22" s="29"/>
      <c r="H22" s="24"/>
      <c r="I22" s="38" t="s">
        <v>54</v>
      </c>
      <c r="J22" s="38" t="s">
        <v>55</v>
      </c>
      <c r="K22" s="39" t="s">
        <v>56</v>
      </c>
      <c r="L22" s="39" t="s">
        <v>55</v>
      </c>
      <c r="M22" s="35"/>
      <c r="N22" s="35"/>
      <c r="O22" s="35"/>
      <c r="P22" s="35"/>
      <c r="Q22" s="35"/>
      <c r="R22" s="35"/>
      <c r="S22" s="36"/>
      <c r="T22" s="37"/>
      <c r="U22" s="29"/>
      <c r="V22" s="24"/>
      <c r="W22" s="38" t="s">
        <v>54</v>
      </c>
      <c r="X22" s="38" t="s">
        <v>55</v>
      </c>
      <c r="Y22" s="39" t="s">
        <v>56</v>
      </c>
      <c r="Z22" s="39" t="s">
        <v>55</v>
      </c>
      <c r="AA22" s="35"/>
      <c r="AB22" s="35"/>
      <c r="AC22" s="35"/>
      <c r="AD22" s="35"/>
      <c r="AE22" s="35"/>
      <c r="AF22" s="35"/>
      <c r="AG22" s="36"/>
      <c r="AH22" s="28"/>
      <c r="AI22" s="27"/>
      <c r="AJ22" s="28"/>
      <c r="AK22" s="29"/>
      <c r="AL22" s="95"/>
      <c r="AM22" s="31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40"/>
    </row>
    <row r="23" customFormat="false" ht="15.75" hidden="false" customHeight="false" outlineLevel="0" collapsed="false">
      <c r="A23" s="41" t="n">
        <v>1</v>
      </c>
      <c r="B23" s="42" t="s">
        <v>57</v>
      </c>
      <c r="C23" s="96" t="s">
        <v>58</v>
      </c>
      <c r="D23" s="97" t="n">
        <v>3</v>
      </c>
      <c r="E23" s="98" t="s">
        <v>59</v>
      </c>
      <c r="F23" s="99" t="n">
        <v>1</v>
      </c>
      <c r="G23" s="100"/>
      <c r="H23" s="100" t="n">
        <v>28</v>
      </c>
      <c r="I23" s="100"/>
      <c r="J23" s="100"/>
      <c r="K23" s="100"/>
      <c r="L23" s="100"/>
      <c r="M23" s="100" t="n">
        <v>6</v>
      </c>
      <c r="N23" s="100"/>
      <c r="O23" s="100"/>
      <c r="P23" s="100"/>
      <c r="Q23" s="100"/>
      <c r="R23" s="100" t="n">
        <v>6</v>
      </c>
      <c r="S23" s="101"/>
      <c r="T23" s="102" t="n">
        <f aca="false">SUM(G23:S23)</f>
        <v>40</v>
      </c>
      <c r="U23" s="103"/>
      <c r="V23" s="100" t="n">
        <v>14</v>
      </c>
      <c r="W23" s="100" t="n">
        <v>2</v>
      </c>
      <c r="X23" s="100"/>
      <c r="Y23" s="100"/>
      <c r="Z23" s="100"/>
      <c r="AA23" s="100" t="n">
        <v>4</v>
      </c>
      <c r="AB23" s="100"/>
      <c r="AC23" s="100"/>
      <c r="AD23" s="100"/>
      <c r="AE23" s="100" t="n">
        <v>2</v>
      </c>
      <c r="AF23" s="100"/>
      <c r="AG23" s="96" t="n">
        <v>9</v>
      </c>
      <c r="AH23" s="102" t="n">
        <f aca="false">SUM(U23:AG23)</f>
        <v>31</v>
      </c>
      <c r="AI23" s="101"/>
      <c r="AJ23" s="102" t="n">
        <f aca="false">SUM(T23,AH23)</f>
        <v>71</v>
      </c>
      <c r="AK23" s="103"/>
      <c r="AL23" s="100"/>
      <c r="AM23" s="104" t="n">
        <f aca="false">SUM(AJ23:AL23)</f>
        <v>71</v>
      </c>
    </row>
    <row r="24" customFormat="false" ht="19.5" hidden="false" customHeight="true" outlineLevel="0" collapsed="false">
      <c r="A24" s="41"/>
      <c r="B24" s="42" t="s">
        <v>60</v>
      </c>
      <c r="C24" s="105" t="s">
        <v>61</v>
      </c>
      <c r="D24" s="106" t="n">
        <v>4</v>
      </c>
      <c r="E24" s="107" t="s">
        <v>59</v>
      </c>
      <c r="F24" s="108" t="n">
        <v>1</v>
      </c>
      <c r="G24" s="109" t="n">
        <v>2</v>
      </c>
      <c r="H24" s="109" t="n">
        <v>4</v>
      </c>
      <c r="I24" s="109"/>
      <c r="J24" s="109" t="n">
        <v>50</v>
      </c>
      <c r="K24" s="109" t="n">
        <v>12</v>
      </c>
      <c r="L24" s="109"/>
      <c r="M24" s="109"/>
      <c r="N24" s="109"/>
      <c r="O24" s="109"/>
      <c r="P24" s="109"/>
      <c r="Q24" s="109"/>
      <c r="R24" s="110" t="n">
        <v>6</v>
      </c>
      <c r="S24" s="110"/>
      <c r="T24" s="102" t="n">
        <f aca="false">SUM(G24:S24)</f>
        <v>74</v>
      </c>
      <c r="U24" s="111"/>
      <c r="V24" s="109"/>
      <c r="W24" s="109"/>
      <c r="X24" s="109" t="n">
        <v>60</v>
      </c>
      <c r="Y24" s="109" t="n">
        <v>8</v>
      </c>
      <c r="Z24" s="109"/>
      <c r="AA24" s="109"/>
      <c r="AB24" s="109"/>
      <c r="AC24" s="109"/>
      <c r="AD24" s="109"/>
      <c r="AE24" s="109"/>
      <c r="AF24" s="109" t="n">
        <v>6</v>
      </c>
      <c r="AG24" s="105"/>
      <c r="AH24" s="102" t="n">
        <f aca="false">SUM(U24:AG24)</f>
        <v>74</v>
      </c>
      <c r="AI24" s="101"/>
      <c r="AJ24" s="102" t="n">
        <f aca="false">SUM(T24,AH24)</f>
        <v>148</v>
      </c>
      <c r="AK24" s="103"/>
      <c r="AL24" s="100"/>
      <c r="AM24" s="104" t="n">
        <f aca="false">SUM(AJ24:AL24)</f>
        <v>148</v>
      </c>
    </row>
    <row r="25" customFormat="false" ht="15.75" hidden="false" customHeight="false" outlineLevel="0" collapsed="false">
      <c r="A25" s="41"/>
      <c r="B25" s="42" t="s">
        <v>62</v>
      </c>
      <c r="C25" s="105" t="s">
        <v>63</v>
      </c>
      <c r="D25" s="106" t="n">
        <v>4</v>
      </c>
      <c r="E25" s="107" t="s">
        <v>59</v>
      </c>
      <c r="F25" s="108" t="n">
        <v>1</v>
      </c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10" t="n">
        <v>6</v>
      </c>
      <c r="S25" s="110"/>
      <c r="T25" s="102" t="n">
        <f aca="false">SUM(G25:S25)</f>
        <v>6</v>
      </c>
      <c r="U25" s="111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5"/>
      <c r="AH25" s="102"/>
      <c r="AI25" s="101"/>
      <c r="AJ25" s="102" t="n">
        <f aca="false">SUM(T25,AH25)</f>
        <v>6</v>
      </c>
      <c r="AK25" s="103"/>
      <c r="AL25" s="100"/>
      <c r="AM25" s="104" t="n">
        <f aca="false">SUM(AJ25:AL25)</f>
        <v>6</v>
      </c>
    </row>
    <row r="26" customFormat="false" ht="15.75" hidden="false" customHeight="false" outlineLevel="0" collapsed="false">
      <c r="A26" s="41"/>
      <c r="B26" s="41"/>
      <c r="C26" s="96" t="s">
        <v>64</v>
      </c>
      <c r="D26" s="106" t="n">
        <v>4</v>
      </c>
      <c r="E26" s="107" t="s">
        <v>59</v>
      </c>
      <c r="F26" s="108" t="n">
        <v>1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1" t="n">
        <v>6</v>
      </c>
      <c r="S26" s="101"/>
      <c r="T26" s="102" t="n">
        <f aca="false">SUM(G26:S26)</f>
        <v>6</v>
      </c>
      <c r="U26" s="103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2"/>
      <c r="AI26" s="101"/>
      <c r="AJ26" s="102" t="n">
        <f aca="false">SUM(T26,AH26)</f>
        <v>6</v>
      </c>
      <c r="AK26" s="103"/>
      <c r="AL26" s="100"/>
      <c r="AM26" s="104" t="n">
        <f aca="false">SUM(AJ26:AL26)</f>
        <v>6</v>
      </c>
    </row>
    <row r="27" customFormat="false" ht="19.5" hidden="false" customHeight="true" outlineLevel="0" collapsed="false">
      <c r="A27" s="41"/>
      <c r="B27" s="42"/>
      <c r="C27" s="105" t="s">
        <v>61</v>
      </c>
      <c r="D27" s="112" t="n">
        <v>5</v>
      </c>
      <c r="E27" s="113" t="s">
        <v>59</v>
      </c>
      <c r="F27" s="114" t="n">
        <v>1</v>
      </c>
      <c r="G27" s="109"/>
      <c r="H27" s="109" t="n">
        <v>4</v>
      </c>
      <c r="I27" s="109"/>
      <c r="J27" s="109" t="n">
        <v>30</v>
      </c>
      <c r="K27" s="109"/>
      <c r="L27" s="109"/>
      <c r="M27" s="109"/>
      <c r="N27" s="109"/>
      <c r="O27" s="109"/>
      <c r="P27" s="109"/>
      <c r="Q27" s="109"/>
      <c r="R27" s="110" t="n">
        <v>6</v>
      </c>
      <c r="S27" s="110"/>
      <c r="T27" s="102" t="n">
        <f aca="false">SUM(G27:S27)</f>
        <v>40</v>
      </c>
      <c r="U27" s="111"/>
      <c r="V27" s="109"/>
      <c r="W27" s="109"/>
      <c r="X27" s="109" t="n">
        <v>68</v>
      </c>
      <c r="Y27" s="109"/>
      <c r="Z27" s="109"/>
      <c r="AA27" s="109"/>
      <c r="AB27" s="109"/>
      <c r="AC27" s="109"/>
      <c r="AD27" s="109"/>
      <c r="AE27" s="109"/>
      <c r="AF27" s="109" t="n">
        <v>6</v>
      </c>
      <c r="AG27" s="105"/>
      <c r="AH27" s="102" t="n">
        <f aca="false">SUM(U27:AG27)</f>
        <v>74</v>
      </c>
      <c r="AI27" s="101"/>
      <c r="AJ27" s="102" t="n">
        <f aca="false">SUM(T27,AH27)</f>
        <v>114</v>
      </c>
      <c r="AK27" s="103"/>
      <c r="AL27" s="100"/>
      <c r="AM27" s="115" t="n">
        <f aca="false">SUM(AJ27:AL27)</f>
        <v>114</v>
      </c>
    </row>
    <row r="28" customFormat="false" ht="23.25" hidden="false" customHeight="true" outlineLevel="0" collapsed="false">
      <c r="A28" s="63"/>
      <c r="B28" s="116" t="s">
        <v>42</v>
      </c>
      <c r="C28" s="117"/>
      <c r="D28" s="118"/>
      <c r="E28" s="119"/>
      <c r="F28" s="120"/>
      <c r="G28" s="121" t="n">
        <f aca="false">SUM(G23:G27)</f>
        <v>2</v>
      </c>
      <c r="H28" s="69" t="n">
        <f aca="false">SUM(H23:H27)</f>
        <v>36</v>
      </c>
      <c r="I28" s="69"/>
      <c r="J28" s="69" t="n">
        <f aca="false">SUM(J23:J27)</f>
        <v>80</v>
      </c>
      <c r="K28" s="69" t="n">
        <f aca="false">SUM(K23:K27)</f>
        <v>12</v>
      </c>
      <c r="L28" s="69"/>
      <c r="M28" s="69" t="n">
        <f aca="false">SUM(M23:M27)</f>
        <v>6</v>
      </c>
      <c r="N28" s="69"/>
      <c r="O28" s="69"/>
      <c r="P28" s="69"/>
      <c r="Q28" s="69"/>
      <c r="R28" s="69" t="n">
        <f aca="false">SUM(R23:R27)</f>
        <v>30</v>
      </c>
      <c r="S28" s="122"/>
      <c r="T28" s="71" t="n">
        <f aca="false">SUM(G28:S28)</f>
        <v>166</v>
      </c>
      <c r="U28" s="121"/>
      <c r="V28" s="69" t="n">
        <f aca="false">SUM(V23:V27)</f>
        <v>14</v>
      </c>
      <c r="W28" s="69" t="n">
        <f aca="false">SUM(W23:W27)</f>
        <v>2</v>
      </c>
      <c r="X28" s="69" t="n">
        <f aca="false">SUM(X23:X27)</f>
        <v>128</v>
      </c>
      <c r="Y28" s="69" t="n">
        <f aca="false">SUM(Y23:Y27)</f>
        <v>8</v>
      </c>
      <c r="Z28" s="69"/>
      <c r="AA28" s="69" t="n">
        <f aca="false">SUM(AA23:AA27)</f>
        <v>4</v>
      </c>
      <c r="AB28" s="69"/>
      <c r="AC28" s="69"/>
      <c r="AD28" s="69"/>
      <c r="AE28" s="69" t="n">
        <f aca="false">SUM(AE23:AE27)</f>
        <v>2</v>
      </c>
      <c r="AF28" s="69" t="n">
        <f aca="false">SUM(AF23:AF27)</f>
        <v>12</v>
      </c>
      <c r="AG28" s="122" t="n">
        <f aca="false">SUM(AG23:AG27)</f>
        <v>9</v>
      </c>
      <c r="AH28" s="71" t="n">
        <f aca="false">SUM(U28:AG28)</f>
        <v>179</v>
      </c>
      <c r="AI28" s="73"/>
      <c r="AJ28" s="71" t="n">
        <f aca="false">SUM(AJ23:AJ27)</f>
        <v>345</v>
      </c>
      <c r="AK28" s="72"/>
      <c r="AL28" s="70"/>
      <c r="AM28" s="71" t="n">
        <f aca="false">SUM(AJ28:AL28)</f>
        <v>345</v>
      </c>
    </row>
    <row r="29" customFormat="false" ht="15.75" hidden="false" customHeight="false" outlineLevel="0" collapsed="false">
      <c r="A29" s="41" t="n">
        <v>2</v>
      </c>
      <c r="B29" s="42" t="s">
        <v>65</v>
      </c>
      <c r="C29" s="123" t="s">
        <v>66</v>
      </c>
      <c r="D29" s="124" t="s">
        <v>33</v>
      </c>
      <c r="E29" s="107" t="s">
        <v>34</v>
      </c>
      <c r="F29" s="108" t="n">
        <v>1</v>
      </c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10"/>
      <c r="S29" s="110"/>
      <c r="T29" s="125"/>
      <c r="U29" s="111" t="n">
        <v>6</v>
      </c>
      <c r="V29" s="109" t="n">
        <v>16</v>
      </c>
      <c r="W29" s="109"/>
      <c r="X29" s="109"/>
      <c r="Y29" s="109"/>
      <c r="Z29" s="109"/>
      <c r="AA29" s="109" t="n">
        <v>4</v>
      </c>
      <c r="AB29" s="109"/>
      <c r="AC29" s="109"/>
      <c r="AD29" s="109"/>
      <c r="AE29" s="109"/>
      <c r="AF29" s="109" t="n">
        <v>6</v>
      </c>
      <c r="AG29" s="105"/>
      <c r="AH29" s="125" t="n">
        <f aca="false">SUM(U29:AG29)</f>
        <v>32</v>
      </c>
      <c r="AI29" s="101"/>
      <c r="AJ29" s="102" t="n">
        <f aca="false">SUM(T29,AH29)</f>
        <v>32</v>
      </c>
      <c r="AK29" s="103"/>
      <c r="AL29" s="100"/>
      <c r="AM29" s="104" t="n">
        <f aca="false">SUM(AJ29:AL29)</f>
        <v>32</v>
      </c>
    </row>
    <row r="30" customFormat="false" ht="15.75" hidden="false" customHeight="false" outlineLevel="0" collapsed="false">
      <c r="A30" s="41"/>
      <c r="B30" s="42" t="s">
        <v>60</v>
      </c>
      <c r="C30" s="102" t="s">
        <v>67</v>
      </c>
      <c r="D30" s="126" t="s">
        <v>36</v>
      </c>
      <c r="E30" s="107" t="s">
        <v>34</v>
      </c>
      <c r="F30" s="127" t="n">
        <v>1</v>
      </c>
      <c r="G30" s="100"/>
      <c r="H30" s="100" t="n">
        <v>20</v>
      </c>
      <c r="I30" s="100" t="n">
        <v>6</v>
      </c>
      <c r="J30" s="100"/>
      <c r="K30" s="100"/>
      <c r="L30" s="100"/>
      <c r="M30" s="100" t="n">
        <v>4</v>
      </c>
      <c r="N30" s="100"/>
      <c r="O30" s="100"/>
      <c r="P30" s="100"/>
      <c r="Q30" s="100"/>
      <c r="R30" s="100"/>
      <c r="S30" s="101"/>
      <c r="T30" s="125" t="n">
        <f aca="false">SUM(G30:S30)</f>
        <v>30</v>
      </c>
      <c r="U30" s="103"/>
      <c r="V30" s="100" t="n">
        <v>14</v>
      </c>
      <c r="W30" s="100" t="n">
        <v>8</v>
      </c>
      <c r="X30" s="100"/>
      <c r="Y30" s="100"/>
      <c r="Z30" s="100"/>
      <c r="AA30" s="100" t="n">
        <v>6</v>
      </c>
      <c r="AB30" s="100"/>
      <c r="AC30" s="100"/>
      <c r="AD30" s="100"/>
      <c r="AE30" s="100"/>
      <c r="AF30" s="100"/>
      <c r="AG30" s="96"/>
      <c r="AH30" s="125" t="n">
        <f aca="false">SUM(U30:AG30)</f>
        <v>28</v>
      </c>
      <c r="AI30" s="101"/>
      <c r="AJ30" s="102" t="n">
        <f aca="false">SUM(T30,AH30)</f>
        <v>58</v>
      </c>
      <c r="AK30" s="103"/>
      <c r="AL30" s="100"/>
      <c r="AM30" s="104" t="n">
        <f aca="false">SUM(AJ30:AL30)</f>
        <v>58</v>
      </c>
    </row>
    <row r="31" customFormat="false" ht="19.5" hidden="false" customHeight="true" outlineLevel="0" collapsed="false">
      <c r="A31" s="41"/>
      <c r="B31" s="42" t="s">
        <v>37</v>
      </c>
      <c r="C31" s="102" t="s">
        <v>67</v>
      </c>
      <c r="D31" s="126" t="s">
        <v>39</v>
      </c>
      <c r="E31" s="107" t="s">
        <v>34</v>
      </c>
      <c r="F31" s="127" t="n">
        <v>1</v>
      </c>
      <c r="G31" s="109"/>
      <c r="H31" s="109" t="n">
        <v>36</v>
      </c>
      <c r="I31" s="109" t="n">
        <v>12</v>
      </c>
      <c r="J31" s="109"/>
      <c r="K31" s="109"/>
      <c r="L31" s="109"/>
      <c r="M31" s="109" t="n">
        <v>12</v>
      </c>
      <c r="N31" s="109"/>
      <c r="O31" s="109"/>
      <c r="P31" s="109"/>
      <c r="Q31" s="109" t="n">
        <v>2</v>
      </c>
      <c r="R31" s="110"/>
      <c r="S31" s="110" t="n">
        <v>9</v>
      </c>
      <c r="T31" s="125" t="n">
        <f aca="false">SUM(G31:S31)</f>
        <v>71</v>
      </c>
      <c r="U31" s="111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5"/>
      <c r="AH31" s="125"/>
      <c r="AI31" s="101"/>
      <c r="AJ31" s="102" t="n">
        <f aca="false">SUM(T31,AH31)</f>
        <v>71</v>
      </c>
      <c r="AK31" s="103"/>
      <c r="AL31" s="100"/>
      <c r="AM31" s="104" t="n">
        <f aca="false">SUM(AJ31:AL31)</f>
        <v>71</v>
      </c>
    </row>
    <row r="32" customFormat="false" ht="16.5" hidden="false" customHeight="false" outlineLevel="0" collapsed="false">
      <c r="A32" s="41"/>
      <c r="B32" s="42"/>
      <c r="C32" s="128" t="s">
        <v>66</v>
      </c>
      <c r="D32" s="124" t="s">
        <v>33</v>
      </c>
      <c r="E32" s="107" t="s">
        <v>68</v>
      </c>
      <c r="F32" s="108" t="n">
        <v>1</v>
      </c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10"/>
      <c r="S32" s="110"/>
      <c r="T32" s="125"/>
      <c r="U32" s="111" t="n">
        <v>6</v>
      </c>
      <c r="V32" s="109" t="n">
        <v>16</v>
      </c>
      <c r="W32" s="109"/>
      <c r="X32" s="109"/>
      <c r="Y32" s="109"/>
      <c r="Z32" s="109"/>
      <c r="AA32" s="109" t="n">
        <v>4</v>
      </c>
      <c r="AB32" s="109"/>
      <c r="AC32" s="109"/>
      <c r="AD32" s="109"/>
      <c r="AE32" s="109"/>
      <c r="AF32" s="109" t="n">
        <v>6</v>
      </c>
      <c r="AG32" s="100"/>
      <c r="AH32" s="125" t="n">
        <f aca="false">SUM(U32:AG32)</f>
        <v>32</v>
      </c>
      <c r="AI32" s="101"/>
      <c r="AJ32" s="102" t="n">
        <f aca="false">SUM(T32,AH32)</f>
        <v>32</v>
      </c>
      <c r="AK32" s="103"/>
      <c r="AL32" s="100"/>
      <c r="AM32" s="104" t="n">
        <f aca="false">SUM(AJ32:AL32)</f>
        <v>32</v>
      </c>
    </row>
    <row r="33" customFormat="false" ht="24.75" hidden="false" customHeight="true" outlineLevel="0" collapsed="false">
      <c r="A33" s="63"/>
      <c r="B33" s="116" t="s">
        <v>42</v>
      </c>
      <c r="C33" s="117"/>
      <c r="D33" s="118"/>
      <c r="E33" s="119"/>
      <c r="F33" s="120"/>
      <c r="G33" s="121"/>
      <c r="H33" s="69" t="n">
        <f aca="false">SUM(H29:H32)</f>
        <v>56</v>
      </c>
      <c r="I33" s="69" t="n">
        <f aca="false">SUM(I29:I32)</f>
        <v>18</v>
      </c>
      <c r="J33" s="69"/>
      <c r="K33" s="69"/>
      <c r="L33" s="69"/>
      <c r="M33" s="69" t="n">
        <f aca="false">SUM(M29:M32)</f>
        <v>16</v>
      </c>
      <c r="N33" s="69"/>
      <c r="O33" s="69"/>
      <c r="P33" s="69"/>
      <c r="Q33" s="69" t="n">
        <f aca="false">SUM(Q29:Q32)</f>
        <v>2</v>
      </c>
      <c r="R33" s="69"/>
      <c r="S33" s="69" t="n">
        <f aca="false">SUM(S29:S32)</f>
        <v>9</v>
      </c>
      <c r="T33" s="71" t="n">
        <f aca="false">SUM(G33:S33)</f>
        <v>101</v>
      </c>
      <c r="U33" s="69" t="n">
        <f aca="false">SUM(U29:U32)</f>
        <v>12</v>
      </c>
      <c r="V33" s="69" t="n">
        <f aca="false">SUM(V29:V32)</f>
        <v>46</v>
      </c>
      <c r="W33" s="69" t="n">
        <f aca="false">SUM(W29:W32)</f>
        <v>8</v>
      </c>
      <c r="X33" s="69"/>
      <c r="Y33" s="69"/>
      <c r="Z33" s="69"/>
      <c r="AA33" s="69" t="n">
        <f aca="false">SUM(AA29:AA32)</f>
        <v>14</v>
      </c>
      <c r="AB33" s="69"/>
      <c r="AC33" s="69"/>
      <c r="AD33" s="69"/>
      <c r="AE33" s="69"/>
      <c r="AF33" s="69" t="n">
        <f aca="false">SUM(AF29:AF32)</f>
        <v>12</v>
      </c>
      <c r="AG33" s="69"/>
      <c r="AH33" s="71" t="n">
        <f aca="false">SUM(U33:AG33)</f>
        <v>92</v>
      </c>
      <c r="AI33" s="73"/>
      <c r="AJ33" s="71" t="n">
        <f aca="false">SUM(AJ29:AK32)</f>
        <v>193</v>
      </c>
      <c r="AK33" s="72"/>
      <c r="AL33" s="70"/>
      <c r="AM33" s="71" t="n">
        <f aca="false">SUM(AJ33:AL33)</f>
        <v>193</v>
      </c>
    </row>
    <row r="34" customFormat="false" ht="15.75" hidden="false" customHeight="false" outlineLevel="0" collapsed="false">
      <c r="A34" s="41" t="n">
        <v>3</v>
      </c>
      <c r="B34" s="129" t="s">
        <v>69</v>
      </c>
      <c r="C34" s="123" t="s">
        <v>58</v>
      </c>
      <c r="D34" s="130" t="n">
        <v>2</v>
      </c>
      <c r="E34" s="131" t="s">
        <v>59</v>
      </c>
      <c r="F34" s="132" t="n">
        <v>1</v>
      </c>
      <c r="G34" s="133"/>
      <c r="H34" s="134" t="n">
        <v>2</v>
      </c>
      <c r="I34" s="134" t="n">
        <v>38</v>
      </c>
      <c r="J34" s="134"/>
      <c r="K34" s="134"/>
      <c r="L34" s="134"/>
      <c r="M34" s="134"/>
      <c r="N34" s="134"/>
      <c r="O34" s="134"/>
      <c r="P34" s="134"/>
      <c r="Q34" s="134"/>
      <c r="R34" s="134" t="n">
        <v>6</v>
      </c>
      <c r="S34" s="135"/>
      <c r="T34" s="136" t="n">
        <f aca="false">SUM(G34:S34)</f>
        <v>46</v>
      </c>
      <c r="U34" s="133"/>
      <c r="V34" s="134"/>
      <c r="W34" s="134" t="n">
        <v>40</v>
      </c>
      <c r="X34" s="134"/>
      <c r="Y34" s="134"/>
      <c r="Z34" s="134"/>
      <c r="AA34" s="134"/>
      <c r="AB34" s="134"/>
      <c r="AC34" s="134"/>
      <c r="AD34" s="134"/>
      <c r="AE34" s="134"/>
      <c r="AF34" s="134" t="n">
        <v>6</v>
      </c>
      <c r="AG34" s="135"/>
      <c r="AH34" s="125" t="n">
        <f aca="false">SUM(U34:AG34)</f>
        <v>46</v>
      </c>
      <c r="AI34" s="136"/>
      <c r="AJ34" s="102" t="n">
        <f aca="false">SUM(T34,AH34)</f>
        <v>92</v>
      </c>
      <c r="AK34" s="137"/>
      <c r="AL34" s="135"/>
      <c r="AM34" s="104" t="n">
        <f aca="false">SUM(AJ34:AL34)</f>
        <v>92</v>
      </c>
    </row>
    <row r="35" customFormat="false" ht="15.75" hidden="false" customHeight="false" outlineLevel="0" collapsed="false">
      <c r="A35" s="41"/>
      <c r="B35" s="129" t="s">
        <v>60</v>
      </c>
      <c r="C35" s="102" t="s">
        <v>58</v>
      </c>
      <c r="D35" s="138" t="n">
        <v>3</v>
      </c>
      <c r="E35" s="139" t="s">
        <v>59</v>
      </c>
      <c r="F35" s="140" t="n">
        <v>1</v>
      </c>
      <c r="G35" s="141"/>
      <c r="H35" s="100"/>
      <c r="I35" s="100" t="n">
        <v>30</v>
      </c>
      <c r="J35" s="100"/>
      <c r="K35" s="100"/>
      <c r="L35" s="100"/>
      <c r="M35" s="100"/>
      <c r="N35" s="100"/>
      <c r="O35" s="100"/>
      <c r="P35" s="100"/>
      <c r="Q35" s="100"/>
      <c r="R35" s="100"/>
      <c r="S35" s="142"/>
      <c r="T35" s="143" t="n">
        <f aca="false">SUM(G35:S35)</f>
        <v>30</v>
      </c>
      <c r="U35" s="141"/>
      <c r="V35" s="100"/>
      <c r="W35" s="100" t="n">
        <v>20</v>
      </c>
      <c r="X35" s="100"/>
      <c r="Y35" s="100"/>
      <c r="Z35" s="100"/>
      <c r="AA35" s="100"/>
      <c r="AB35" s="100"/>
      <c r="AC35" s="100"/>
      <c r="AD35" s="100"/>
      <c r="AE35" s="100" t="n">
        <v>2</v>
      </c>
      <c r="AF35" s="100"/>
      <c r="AG35" s="142" t="n">
        <v>9</v>
      </c>
      <c r="AH35" s="125" t="n">
        <f aca="false">SUM(U35:AG35)</f>
        <v>31</v>
      </c>
      <c r="AI35" s="102"/>
      <c r="AJ35" s="102" t="n">
        <f aca="false">SUM(T35,AH35)</f>
        <v>61</v>
      </c>
      <c r="AK35" s="144"/>
      <c r="AL35" s="142"/>
      <c r="AM35" s="104" t="n">
        <f aca="false">SUM(AJ35:AL35)</f>
        <v>61</v>
      </c>
    </row>
    <row r="36" customFormat="false" ht="15.75" hidden="false" customHeight="false" outlineLevel="0" collapsed="false">
      <c r="A36" s="41"/>
      <c r="B36" s="129" t="s">
        <v>70</v>
      </c>
      <c r="C36" s="145" t="s">
        <v>71</v>
      </c>
      <c r="D36" s="146" t="n">
        <v>3</v>
      </c>
      <c r="E36" s="147" t="s">
        <v>59</v>
      </c>
      <c r="F36" s="148" t="n">
        <v>1</v>
      </c>
      <c r="G36" s="141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42" t="n">
        <v>9</v>
      </c>
      <c r="T36" s="143" t="n">
        <f aca="false">SUM(G36:S36)</f>
        <v>9</v>
      </c>
      <c r="U36" s="141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 t="n">
        <v>6</v>
      </c>
      <c r="AG36" s="142"/>
      <c r="AH36" s="125" t="n">
        <f aca="false">SUM(U36:AG36)</f>
        <v>6</v>
      </c>
      <c r="AI36" s="102"/>
      <c r="AJ36" s="102" t="n">
        <f aca="false">SUM(T36,AH36)</f>
        <v>15</v>
      </c>
      <c r="AK36" s="103"/>
      <c r="AL36" s="142"/>
      <c r="AM36" s="104" t="n">
        <f aca="false">SUM(AJ36:AL36)</f>
        <v>15</v>
      </c>
    </row>
    <row r="37" customFormat="false" ht="15.75" hidden="false" customHeight="false" outlineLevel="0" collapsed="false">
      <c r="A37" s="41"/>
      <c r="B37" s="129"/>
      <c r="C37" s="102" t="s">
        <v>61</v>
      </c>
      <c r="D37" s="138" t="n">
        <v>4</v>
      </c>
      <c r="E37" s="147" t="s">
        <v>59</v>
      </c>
      <c r="F37" s="140" t="n">
        <v>1</v>
      </c>
      <c r="G37" s="141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 t="n">
        <v>6</v>
      </c>
      <c r="S37" s="142"/>
      <c r="T37" s="143" t="n">
        <f aca="false">SUM(G37:S37)</f>
        <v>6</v>
      </c>
      <c r="U37" s="141"/>
      <c r="V37" s="100"/>
      <c r="W37" s="100"/>
      <c r="X37" s="100" t="n">
        <v>12</v>
      </c>
      <c r="Y37" s="100"/>
      <c r="Z37" s="100"/>
      <c r="AA37" s="100"/>
      <c r="AB37" s="100"/>
      <c r="AC37" s="100"/>
      <c r="AD37" s="100"/>
      <c r="AE37" s="100"/>
      <c r="AF37" s="100" t="n">
        <v>6</v>
      </c>
      <c r="AG37" s="142"/>
      <c r="AH37" s="125" t="n">
        <f aca="false">SUM(U37:AG37)</f>
        <v>18</v>
      </c>
      <c r="AI37" s="102"/>
      <c r="AJ37" s="102" t="n">
        <f aca="false">SUM(T37,AH37)</f>
        <v>24</v>
      </c>
      <c r="AK37" s="103"/>
      <c r="AL37" s="142"/>
      <c r="AM37" s="104" t="n">
        <f aca="false">SUM(AJ37:AL37)</f>
        <v>24</v>
      </c>
    </row>
    <row r="38" customFormat="false" ht="15.75" hidden="false" customHeight="false" outlineLevel="0" collapsed="false">
      <c r="A38" s="41"/>
      <c r="B38" s="129"/>
      <c r="C38" s="102" t="s">
        <v>63</v>
      </c>
      <c r="D38" s="149" t="n">
        <v>4</v>
      </c>
      <c r="E38" s="147" t="s">
        <v>59</v>
      </c>
      <c r="F38" s="150" t="n">
        <v>1</v>
      </c>
      <c r="G38" s="141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 t="n">
        <v>6</v>
      </c>
      <c r="S38" s="142"/>
      <c r="T38" s="143" t="n">
        <f aca="false">SUM(G38:S38)</f>
        <v>6</v>
      </c>
      <c r="U38" s="141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42"/>
      <c r="AH38" s="125"/>
      <c r="AI38" s="102"/>
      <c r="AJ38" s="102" t="n">
        <f aca="false">SUM(T38,AH38)</f>
        <v>6</v>
      </c>
      <c r="AK38" s="103"/>
      <c r="AL38" s="142"/>
      <c r="AM38" s="104" t="n">
        <f aca="false">SUM(AJ38:AL38)</f>
        <v>6</v>
      </c>
    </row>
    <row r="39" customFormat="false" ht="15.75" hidden="false" customHeight="false" outlineLevel="0" collapsed="false">
      <c r="A39" s="41"/>
      <c r="B39" s="129"/>
      <c r="C39" s="102" t="s">
        <v>64</v>
      </c>
      <c r="D39" s="149" t="n">
        <v>4</v>
      </c>
      <c r="E39" s="147" t="s">
        <v>59</v>
      </c>
      <c r="F39" s="150" t="n">
        <v>1</v>
      </c>
      <c r="G39" s="141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 t="n">
        <v>6</v>
      </c>
      <c r="S39" s="142"/>
      <c r="T39" s="143" t="n">
        <f aca="false">SUM(G39:S39)</f>
        <v>6</v>
      </c>
      <c r="U39" s="141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42" t="n">
        <v>9</v>
      </c>
      <c r="AH39" s="125" t="n">
        <f aca="false">SUM(U39:AG39)</f>
        <v>9</v>
      </c>
      <c r="AI39" s="102"/>
      <c r="AJ39" s="102" t="n">
        <f aca="false">SUM(T39,AH39)</f>
        <v>15</v>
      </c>
      <c r="AK39" s="103"/>
      <c r="AL39" s="142"/>
      <c r="AM39" s="104" t="n">
        <f aca="false">SUM(AJ39:AL39)</f>
        <v>15</v>
      </c>
    </row>
    <row r="40" customFormat="false" ht="15.75" hidden="false" customHeight="false" outlineLevel="0" collapsed="false">
      <c r="A40" s="41"/>
      <c r="B40" s="151"/>
      <c r="C40" s="102" t="s">
        <v>63</v>
      </c>
      <c r="D40" s="149" t="n">
        <v>5</v>
      </c>
      <c r="E40" s="147" t="s">
        <v>59</v>
      </c>
      <c r="F40" s="150" t="n">
        <v>1</v>
      </c>
      <c r="G40" s="141"/>
      <c r="H40" s="100"/>
      <c r="I40" s="100"/>
      <c r="J40" s="100" t="n">
        <v>40</v>
      </c>
      <c r="K40" s="100"/>
      <c r="L40" s="100"/>
      <c r="M40" s="100"/>
      <c r="N40" s="100"/>
      <c r="O40" s="100"/>
      <c r="P40" s="100"/>
      <c r="Q40" s="100"/>
      <c r="R40" s="100" t="n">
        <v>6</v>
      </c>
      <c r="S40" s="142"/>
      <c r="T40" s="143" t="n">
        <f aca="false">SUM(G40:S40)</f>
        <v>46</v>
      </c>
      <c r="U40" s="141"/>
      <c r="V40" s="100"/>
      <c r="W40" s="100"/>
      <c r="X40" s="100" t="n">
        <v>24</v>
      </c>
      <c r="Y40" s="100"/>
      <c r="Z40" s="100"/>
      <c r="AA40" s="100"/>
      <c r="AB40" s="100"/>
      <c r="AC40" s="100"/>
      <c r="AD40" s="100"/>
      <c r="AE40" s="100"/>
      <c r="AF40" s="100" t="n">
        <v>6</v>
      </c>
      <c r="AG40" s="142"/>
      <c r="AH40" s="125" t="n">
        <f aca="false">SUM(U40:AG40)</f>
        <v>30</v>
      </c>
      <c r="AI40" s="102"/>
      <c r="AJ40" s="102" t="n">
        <f aca="false">SUM(T40,AH40)</f>
        <v>76</v>
      </c>
      <c r="AK40" s="103"/>
      <c r="AL40" s="142"/>
      <c r="AM40" s="104" t="n">
        <f aca="false">SUM(AJ40:AL40)</f>
        <v>76</v>
      </c>
    </row>
    <row r="41" customFormat="false" ht="16.5" hidden="false" customHeight="false" outlineLevel="0" collapsed="false">
      <c r="A41" s="41"/>
      <c r="B41" s="151"/>
      <c r="C41" s="102" t="s">
        <v>61</v>
      </c>
      <c r="D41" s="149" t="n">
        <v>5</v>
      </c>
      <c r="E41" s="147" t="s">
        <v>59</v>
      </c>
      <c r="F41" s="150" t="n">
        <v>1</v>
      </c>
      <c r="G41" s="141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42"/>
      <c r="T41" s="143"/>
      <c r="U41" s="141"/>
      <c r="V41" s="100"/>
      <c r="W41" s="100"/>
      <c r="X41" s="100" t="n">
        <v>40</v>
      </c>
      <c r="Y41" s="100"/>
      <c r="Z41" s="100"/>
      <c r="AA41" s="100"/>
      <c r="AB41" s="100"/>
      <c r="AC41" s="100"/>
      <c r="AD41" s="100"/>
      <c r="AE41" s="100"/>
      <c r="AF41" s="100" t="n">
        <v>6</v>
      </c>
      <c r="AG41" s="142"/>
      <c r="AH41" s="125" t="n">
        <f aca="false">SUM(U41:AG41)</f>
        <v>46</v>
      </c>
      <c r="AI41" s="102"/>
      <c r="AJ41" s="102" t="n">
        <f aca="false">SUM(T41,AH41)</f>
        <v>46</v>
      </c>
      <c r="AK41" s="144"/>
      <c r="AL41" s="142"/>
      <c r="AM41" s="104" t="n">
        <f aca="false">SUM(AJ41:AL41)</f>
        <v>46</v>
      </c>
    </row>
    <row r="42" customFormat="false" ht="15.75" hidden="false" customHeight="false" outlineLevel="0" collapsed="false">
      <c r="A42" s="41"/>
      <c r="B42" s="151"/>
      <c r="C42" s="102" t="s">
        <v>71</v>
      </c>
      <c r="D42" s="149" t="n">
        <v>2</v>
      </c>
      <c r="E42" s="139" t="s">
        <v>68</v>
      </c>
      <c r="F42" s="150" t="n">
        <v>1</v>
      </c>
      <c r="G42" s="141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42"/>
      <c r="T42" s="143"/>
      <c r="U42" s="141"/>
      <c r="V42" s="100"/>
      <c r="W42" s="100" t="n">
        <v>12</v>
      </c>
      <c r="X42" s="100"/>
      <c r="Y42" s="100"/>
      <c r="Z42" s="100"/>
      <c r="AA42" s="100"/>
      <c r="AB42" s="100"/>
      <c r="AC42" s="100"/>
      <c r="AD42" s="100"/>
      <c r="AE42" s="100"/>
      <c r="AF42" s="100" t="n">
        <v>6</v>
      </c>
      <c r="AG42" s="142"/>
      <c r="AH42" s="125" t="n">
        <f aca="false">SUM(U42:AG42)</f>
        <v>18</v>
      </c>
      <c r="AI42" s="102"/>
      <c r="AJ42" s="102" t="n">
        <f aca="false">SUM(T42,AH42)</f>
        <v>18</v>
      </c>
      <c r="AK42" s="152"/>
      <c r="AL42" s="142"/>
      <c r="AM42" s="104" t="n">
        <f aca="false">SUM(AJ42:AL42)</f>
        <v>18</v>
      </c>
    </row>
    <row r="43" customFormat="false" ht="15.75" hidden="false" customHeight="false" outlineLevel="0" collapsed="false">
      <c r="A43" s="41"/>
      <c r="B43" s="151"/>
      <c r="C43" s="102" t="s">
        <v>61</v>
      </c>
      <c r="D43" s="149" t="s">
        <v>36</v>
      </c>
      <c r="E43" s="139" t="s">
        <v>59</v>
      </c>
      <c r="F43" s="150" t="n">
        <v>1</v>
      </c>
      <c r="G43" s="141"/>
      <c r="H43" s="100" t="n">
        <v>2</v>
      </c>
      <c r="I43" s="100" t="n">
        <v>34</v>
      </c>
      <c r="J43" s="100"/>
      <c r="K43" s="100"/>
      <c r="L43" s="100"/>
      <c r="M43" s="100"/>
      <c r="N43" s="100"/>
      <c r="O43" s="100"/>
      <c r="P43" s="100"/>
      <c r="Q43" s="100"/>
      <c r="R43" s="100"/>
      <c r="S43" s="142"/>
      <c r="T43" s="143" t="n">
        <f aca="false">SUM(G43:S43)</f>
        <v>36</v>
      </c>
      <c r="U43" s="141"/>
      <c r="V43" s="100"/>
      <c r="W43" s="100" t="n">
        <v>42</v>
      </c>
      <c r="X43" s="100"/>
      <c r="Y43" s="100"/>
      <c r="Z43" s="100"/>
      <c r="AA43" s="100"/>
      <c r="AB43" s="100"/>
      <c r="AC43" s="100"/>
      <c r="AD43" s="100"/>
      <c r="AE43" s="100"/>
      <c r="AF43" s="100" t="n">
        <v>6</v>
      </c>
      <c r="AG43" s="142"/>
      <c r="AH43" s="125" t="n">
        <f aca="false">SUM(U43:AG43)</f>
        <v>48</v>
      </c>
      <c r="AI43" s="102"/>
      <c r="AJ43" s="102" t="n">
        <f aca="false">SUM(T43,AH43)</f>
        <v>84</v>
      </c>
      <c r="AK43" s="103"/>
      <c r="AL43" s="142"/>
      <c r="AM43" s="104" t="n">
        <f aca="false">SUM(AJ43:AL43)</f>
        <v>84</v>
      </c>
    </row>
    <row r="44" customFormat="false" ht="15.75" hidden="false" customHeight="false" outlineLevel="0" collapsed="false">
      <c r="A44" s="41"/>
      <c r="B44" s="151"/>
      <c r="C44" s="102" t="s">
        <v>63</v>
      </c>
      <c r="D44" s="149" t="s">
        <v>39</v>
      </c>
      <c r="E44" s="139" t="s">
        <v>59</v>
      </c>
      <c r="F44" s="150" t="n">
        <v>1</v>
      </c>
      <c r="G44" s="141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42" t="n">
        <v>9</v>
      </c>
      <c r="T44" s="143" t="n">
        <f aca="false">SUM(G44:S44)</f>
        <v>9</v>
      </c>
      <c r="U44" s="141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42"/>
      <c r="AH44" s="125"/>
      <c r="AI44" s="102"/>
      <c r="AJ44" s="102" t="n">
        <f aca="false">SUM(T44,AH44)</f>
        <v>9</v>
      </c>
      <c r="AK44" s="103"/>
      <c r="AL44" s="142"/>
      <c r="AM44" s="104" t="n">
        <f aca="false">SUM(AJ44:AL44)</f>
        <v>9</v>
      </c>
    </row>
    <row r="45" customFormat="false" ht="16.5" hidden="false" customHeight="false" outlineLevel="0" collapsed="false">
      <c r="A45" s="41"/>
      <c r="B45" s="151"/>
      <c r="C45" s="102" t="s">
        <v>64</v>
      </c>
      <c r="D45" s="149" t="s">
        <v>39</v>
      </c>
      <c r="E45" s="139" t="s">
        <v>59</v>
      </c>
      <c r="F45" s="150" t="n">
        <v>1</v>
      </c>
      <c r="G45" s="141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42"/>
      <c r="T45" s="143"/>
      <c r="U45" s="141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42" t="n">
        <v>9</v>
      </c>
      <c r="AH45" s="125" t="n">
        <f aca="false">SUM(U45:AG45)</f>
        <v>9</v>
      </c>
      <c r="AI45" s="102"/>
      <c r="AJ45" s="102" t="n">
        <f aca="false">SUM(T45,AH45)</f>
        <v>9</v>
      </c>
      <c r="AK45" s="103"/>
      <c r="AL45" s="142"/>
      <c r="AM45" s="104" t="n">
        <f aca="false">SUM(AJ45:AL45)</f>
        <v>9</v>
      </c>
    </row>
    <row r="46" customFormat="false" ht="16.5" hidden="false" customHeight="false" outlineLevel="0" collapsed="false">
      <c r="A46" s="41"/>
      <c r="B46" s="151"/>
      <c r="C46" s="128" t="s">
        <v>71</v>
      </c>
      <c r="D46" s="138" t="s">
        <v>39</v>
      </c>
      <c r="E46" s="139" t="s">
        <v>68</v>
      </c>
      <c r="F46" s="150" t="n">
        <v>1</v>
      </c>
      <c r="G46" s="153"/>
      <c r="H46" s="154"/>
      <c r="I46" s="154"/>
      <c r="J46" s="154" t="n">
        <v>18</v>
      </c>
      <c r="K46" s="154"/>
      <c r="L46" s="154"/>
      <c r="M46" s="154"/>
      <c r="N46" s="154"/>
      <c r="O46" s="154"/>
      <c r="P46" s="154"/>
      <c r="Q46" s="154"/>
      <c r="R46" s="154"/>
      <c r="S46" s="155" t="n">
        <v>9</v>
      </c>
      <c r="T46" s="156" t="n">
        <f aca="false">SUM(G46:S46)</f>
        <v>27</v>
      </c>
      <c r="U46" s="141"/>
      <c r="V46" s="100"/>
      <c r="W46" s="100" t="n">
        <v>12</v>
      </c>
      <c r="X46" s="100"/>
      <c r="Y46" s="100"/>
      <c r="Z46" s="100"/>
      <c r="AA46" s="100"/>
      <c r="AB46" s="100"/>
      <c r="AC46" s="100"/>
      <c r="AD46" s="100"/>
      <c r="AE46" s="100"/>
      <c r="AF46" s="100" t="n">
        <v>6</v>
      </c>
      <c r="AG46" s="142"/>
      <c r="AH46" s="125" t="n">
        <f aca="false">SUM(U46:AG46)</f>
        <v>18</v>
      </c>
      <c r="AI46" s="102"/>
      <c r="AJ46" s="102" t="n">
        <f aca="false">SUM(T46,AH46)</f>
        <v>45</v>
      </c>
      <c r="AK46" s="152"/>
      <c r="AL46" s="142"/>
      <c r="AM46" s="104" t="n">
        <f aca="false">SUM(AJ46:AL46)</f>
        <v>45</v>
      </c>
    </row>
    <row r="47" customFormat="false" ht="25.5" hidden="false" customHeight="true" outlineLevel="0" collapsed="false">
      <c r="A47" s="63"/>
      <c r="B47" s="116" t="s">
        <v>42</v>
      </c>
      <c r="C47" s="117"/>
      <c r="D47" s="117"/>
      <c r="E47" s="117"/>
      <c r="F47" s="157"/>
      <c r="G47" s="158"/>
      <c r="H47" s="69" t="n">
        <f aca="false">SUM(H34:H46)</f>
        <v>4</v>
      </c>
      <c r="I47" s="69" t="n">
        <f aca="false">SUM(I34:I46)</f>
        <v>102</v>
      </c>
      <c r="J47" s="69" t="n">
        <f aca="false">SUM(J34:J46)</f>
        <v>58</v>
      </c>
      <c r="K47" s="69"/>
      <c r="L47" s="69"/>
      <c r="M47" s="69"/>
      <c r="N47" s="69"/>
      <c r="O47" s="69"/>
      <c r="P47" s="69"/>
      <c r="Q47" s="69"/>
      <c r="R47" s="69" t="n">
        <f aca="false">SUM(R34:R46)</f>
        <v>30</v>
      </c>
      <c r="S47" s="122" t="n">
        <f aca="false">SUM(S34:S46)</f>
        <v>27</v>
      </c>
      <c r="T47" s="71" t="n">
        <f aca="false">SUM(G47:S47)</f>
        <v>221</v>
      </c>
      <c r="U47" s="69"/>
      <c r="V47" s="69"/>
      <c r="W47" s="69" t="n">
        <f aca="false">SUM(W34:W46)</f>
        <v>126</v>
      </c>
      <c r="X47" s="69" t="n">
        <f aca="false">SUM(X34:X46)</f>
        <v>76</v>
      </c>
      <c r="Y47" s="69"/>
      <c r="Z47" s="69"/>
      <c r="AA47" s="69"/>
      <c r="AB47" s="69"/>
      <c r="AC47" s="69"/>
      <c r="AD47" s="69"/>
      <c r="AE47" s="69" t="n">
        <f aca="false">SUM(AE34:AE46)</f>
        <v>2</v>
      </c>
      <c r="AF47" s="69" t="n">
        <f aca="false">SUM(AF34:AF46)</f>
        <v>48</v>
      </c>
      <c r="AG47" s="69" t="n">
        <f aca="false">SUM(AG34:AG46)</f>
        <v>27</v>
      </c>
      <c r="AH47" s="71" t="n">
        <f aca="false">SUM(U47:AG47)</f>
        <v>279</v>
      </c>
      <c r="AI47" s="73"/>
      <c r="AJ47" s="71" t="n">
        <f aca="false">SUM(AJ34:AK46)</f>
        <v>500</v>
      </c>
      <c r="AK47" s="72"/>
      <c r="AL47" s="70"/>
      <c r="AM47" s="71" t="n">
        <f aca="false">SUM(AJ47:AL47)</f>
        <v>500</v>
      </c>
    </row>
    <row r="48" customFormat="false" ht="15.75" hidden="false" customHeight="false" outlineLevel="0" collapsed="false">
      <c r="A48" s="41" t="n">
        <v>4</v>
      </c>
      <c r="B48" s="42" t="s">
        <v>72</v>
      </c>
      <c r="C48" s="159" t="s">
        <v>73</v>
      </c>
      <c r="D48" s="138" t="n">
        <v>2</v>
      </c>
      <c r="E48" s="160" t="s">
        <v>59</v>
      </c>
      <c r="F48" s="161" t="n">
        <v>1</v>
      </c>
      <c r="G48" s="103"/>
      <c r="H48" s="100" t="n">
        <v>4</v>
      </c>
      <c r="I48" s="100" t="n">
        <v>4</v>
      </c>
      <c r="J48" s="100"/>
      <c r="K48" s="100"/>
      <c r="L48" s="100"/>
      <c r="M48" s="100"/>
      <c r="N48" s="100" t="n">
        <v>2</v>
      </c>
      <c r="O48" s="100"/>
      <c r="P48" s="100"/>
      <c r="Q48" s="100" t="n">
        <v>2</v>
      </c>
      <c r="R48" s="101"/>
      <c r="S48" s="101" t="n">
        <v>9</v>
      </c>
      <c r="T48" s="143" t="n">
        <f aca="false">SUM(G48:S48)</f>
        <v>21</v>
      </c>
      <c r="U48" s="103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96"/>
      <c r="AH48" s="125"/>
      <c r="AI48" s="101"/>
      <c r="AJ48" s="102" t="n">
        <f aca="false">SUM(T48,AH48)</f>
        <v>21</v>
      </c>
      <c r="AK48" s="103"/>
      <c r="AL48" s="100"/>
      <c r="AM48" s="104" t="n">
        <f aca="false">SUM(AJ48:AL48)</f>
        <v>21</v>
      </c>
    </row>
    <row r="49" customFormat="false" ht="15.75" hidden="false" customHeight="false" outlineLevel="0" collapsed="false">
      <c r="A49" s="41"/>
      <c r="B49" s="42" t="s">
        <v>74</v>
      </c>
      <c r="C49" s="102" t="s">
        <v>75</v>
      </c>
      <c r="D49" s="138" t="n">
        <v>2</v>
      </c>
      <c r="E49" s="160" t="s">
        <v>59</v>
      </c>
      <c r="F49" s="161" t="n">
        <v>1</v>
      </c>
      <c r="G49" s="103"/>
      <c r="H49" s="100" t="n">
        <v>6</v>
      </c>
      <c r="I49" s="100" t="n">
        <v>8</v>
      </c>
      <c r="J49" s="100"/>
      <c r="K49" s="100"/>
      <c r="L49" s="100"/>
      <c r="M49" s="100"/>
      <c r="N49" s="100" t="n">
        <v>2</v>
      </c>
      <c r="O49" s="100"/>
      <c r="P49" s="100"/>
      <c r="Q49" s="100"/>
      <c r="R49" s="101"/>
      <c r="S49" s="101"/>
      <c r="T49" s="143" t="n">
        <f aca="false">SUM(G49:S49)</f>
        <v>16</v>
      </c>
      <c r="U49" s="103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96"/>
      <c r="AH49" s="125"/>
      <c r="AI49" s="101"/>
      <c r="AJ49" s="102" t="n">
        <f aca="false">SUM(T49,AH49)</f>
        <v>16</v>
      </c>
      <c r="AK49" s="103"/>
      <c r="AL49" s="100"/>
      <c r="AM49" s="104" t="n">
        <f aca="false">SUM(AJ49:AL49)</f>
        <v>16</v>
      </c>
    </row>
    <row r="50" customFormat="false" ht="15.75" hidden="false" customHeight="false" outlineLevel="0" collapsed="false">
      <c r="A50" s="41"/>
      <c r="B50" s="41" t="s">
        <v>76</v>
      </c>
      <c r="C50" s="102" t="s">
        <v>77</v>
      </c>
      <c r="D50" s="126" t="n">
        <v>1</v>
      </c>
      <c r="E50" s="162" t="s">
        <v>41</v>
      </c>
      <c r="F50" s="163" t="n">
        <v>1</v>
      </c>
      <c r="G50" s="103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1"/>
      <c r="S50" s="101"/>
      <c r="T50" s="143"/>
      <c r="U50" s="103"/>
      <c r="V50" s="100" t="n">
        <v>4</v>
      </c>
      <c r="W50" s="100" t="n">
        <v>2</v>
      </c>
      <c r="X50" s="100"/>
      <c r="Y50" s="100"/>
      <c r="Z50" s="100"/>
      <c r="AA50" s="100"/>
      <c r="AB50" s="100" t="n">
        <v>2</v>
      </c>
      <c r="AC50" s="100"/>
      <c r="AD50" s="100"/>
      <c r="AE50" s="100"/>
      <c r="AF50" s="100" t="n">
        <v>6</v>
      </c>
      <c r="AG50" s="96"/>
      <c r="AH50" s="125" t="n">
        <f aca="false">SUM(U50:AG50)</f>
        <v>14</v>
      </c>
      <c r="AI50" s="101"/>
      <c r="AJ50" s="102" t="n">
        <f aca="false">SUM(T50,AH50)</f>
        <v>14</v>
      </c>
      <c r="AK50" s="103"/>
      <c r="AL50" s="100"/>
      <c r="AM50" s="104" t="n">
        <f aca="false">SUM(AJ50:AL50)</f>
        <v>14</v>
      </c>
    </row>
    <row r="51" customFormat="false" ht="15.75" hidden="false" customHeight="false" outlineLevel="0" collapsed="false">
      <c r="A51" s="41"/>
      <c r="B51" s="164"/>
      <c r="C51" s="102" t="s">
        <v>78</v>
      </c>
      <c r="D51" s="126" t="n">
        <v>1</v>
      </c>
      <c r="E51" s="162" t="s">
        <v>41</v>
      </c>
      <c r="F51" s="163" t="n">
        <v>1</v>
      </c>
      <c r="G51" s="103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1"/>
      <c r="S51" s="101"/>
      <c r="T51" s="143"/>
      <c r="U51" s="103"/>
      <c r="V51" s="100" t="n">
        <v>8</v>
      </c>
      <c r="W51" s="100" t="n">
        <v>2</v>
      </c>
      <c r="X51" s="100"/>
      <c r="Y51" s="100"/>
      <c r="Z51" s="100"/>
      <c r="AA51" s="100"/>
      <c r="AB51" s="100" t="n">
        <v>2</v>
      </c>
      <c r="AC51" s="100"/>
      <c r="AD51" s="100"/>
      <c r="AE51" s="100"/>
      <c r="AF51" s="100"/>
      <c r="AG51" s="96"/>
      <c r="AH51" s="125" t="n">
        <f aca="false">SUM(U51:AG51)</f>
        <v>12</v>
      </c>
      <c r="AI51" s="101"/>
      <c r="AJ51" s="102" t="n">
        <f aca="false">SUM(T51,AH51)</f>
        <v>12</v>
      </c>
      <c r="AK51" s="103"/>
      <c r="AL51" s="100"/>
      <c r="AM51" s="104" t="n">
        <f aca="false">SUM(AJ51:AL51)</f>
        <v>12</v>
      </c>
    </row>
    <row r="52" customFormat="false" ht="15.75" hidden="false" customHeight="false" outlineLevel="0" collapsed="false">
      <c r="A52" s="41"/>
      <c r="B52" s="164"/>
      <c r="C52" s="102" t="s">
        <v>73</v>
      </c>
      <c r="D52" s="126" t="n">
        <v>1</v>
      </c>
      <c r="E52" s="162" t="s">
        <v>41</v>
      </c>
      <c r="F52" s="163" t="n">
        <v>1</v>
      </c>
      <c r="G52" s="103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1"/>
      <c r="S52" s="101"/>
      <c r="T52" s="143"/>
      <c r="U52" s="103"/>
      <c r="V52" s="100" t="n">
        <v>8</v>
      </c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96"/>
      <c r="AH52" s="125" t="n">
        <f aca="false">SUM(U52:AG52)</f>
        <v>8</v>
      </c>
      <c r="AI52" s="101"/>
      <c r="AJ52" s="102" t="n">
        <f aca="false">SUM(T52,AH52)</f>
        <v>8</v>
      </c>
      <c r="AK52" s="103"/>
      <c r="AL52" s="100"/>
      <c r="AM52" s="104" t="n">
        <f aca="false">SUM(AJ52:AL52)</f>
        <v>8</v>
      </c>
    </row>
    <row r="53" customFormat="false" ht="15.75" hidden="false" customHeight="false" outlineLevel="0" collapsed="false">
      <c r="A53" s="41"/>
      <c r="B53" s="164"/>
      <c r="C53" s="102" t="s">
        <v>75</v>
      </c>
      <c r="D53" s="126" t="n">
        <v>1</v>
      </c>
      <c r="E53" s="162" t="s">
        <v>41</v>
      </c>
      <c r="F53" s="163" t="n">
        <v>1</v>
      </c>
      <c r="G53" s="165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10"/>
      <c r="S53" s="110"/>
      <c r="T53" s="143"/>
      <c r="U53" s="103"/>
      <c r="V53" s="100" t="n">
        <v>6</v>
      </c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96"/>
      <c r="AH53" s="125" t="n">
        <f aca="false">SUM(U53:AG53)</f>
        <v>6</v>
      </c>
      <c r="AI53" s="101"/>
      <c r="AJ53" s="102" t="n">
        <f aca="false">SUM(T53,AH53)</f>
        <v>6</v>
      </c>
      <c r="AK53" s="103"/>
      <c r="AL53" s="100"/>
      <c r="AM53" s="104" t="n">
        <f aca="false">SUM(AJ53:AL53)</f>
        <v>6</v>
      </c>
    </row>
    <row r="54" customFormat="false" ht="15.75" hidden="false" customHeight="false" outlineLevel="0" collapsed="false">
      <c r="A54" s="41"/>
      <c r="B54" s="164"/>
      <c r="C54" s="102" t="s">
        <v>79</v>
      </c>
      <c r="D54" s="126" t="n">
        <v>1</v>
      </c>
      <c r="E54" s="162" t="s">
        <v>41</v>
      </c>
      <c r="F54" s="163" t="n">
        <v>1</v>
      </c>
      <c r="G54" s="165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10"/>
      <c r="S54" s="110"/>
      <c r="T54" s="143"/>
      <c r="U54" s="103"/>
      <c r="V54" s="100" t="n">
        <v>8</v>
      </c>
      <c r="W54" s="100"/>
      <c r="X54" s="100"/>
      <c r="Y54" s="100"/>
      <c r="Z54" s="100"/>
      <c r="AA54" s="100"/>
      <c r="AB54" s="100" t="n">
        <v>2</v>
      </c>
      <c r="AC54" s="100"/>
      <c r="AD54" s="100"/>
      <c r="AE54" s="100"/>
      <c r="AF54" s="100"/>
      <c r="AG54" s="96"/>
      <c r="AH54" s="125" t="n">
        <f aca="false">SUM(U54:AG54)</f>
        <v>10</v>
      </c>
      <c r="AI54" s="101"/>
      <c r="AJ54" s="102" t="n">
        <f aca="false">SUM(T54,AH54)</f>
        <v>10</v>
      </c>
      <c r="AK54" s="103"/>
      <c r="AL54" s="100"/>
      <c r="AM54" s="104" t="n">
        <f aca="false">SUM(AJ54:AL54)</f>
        <v>10</v>
      </c>
    </row>
    <row r="55" customFormat="false" ht="15.75" hidden="false" customHeight="false" outlineLevel="0" collapsed="false">
      <c r="A55" s="41"/>
      <c r="B55" s="164"/>
      <c r="C55" s="102" t="s">
        <v>77</v>
      </c>
      <c r="D55" s="124" t="s">
        <v>36</v>
      </c>
      <c r="E55" s="166" t="s">
        <v>59</v>
      </c>
      <c r="F55" s="163" t="n">
        <v>1</v>
      </c>
      <c r="G55" s="103"/>
      <c r="H55" s="100" t="n">
        <v>2</v>
      </c>
      <c r="I55" s="100"/>
      <c r="J55" s="100"/>
      <c r="K55" s="100"/>
      <c r="L55" s="100"/>
      <c r="M55" s="100"/>
      <c r="N55" s="100"/>
      <c r="O55" s="100"/>
      <c r="P55" s="100"/>
      <c r="Q55" s="100"/>
      <c r="R55" s="101"/>
      <c r="S55" s="101"/>
      <c r="T55" s="143" t="n">
        <f aca="false">SUM(G55:S55)</f>
        <v>2</v>
      </c>
      <c r="U55" s="103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96"/>
      <c r="AH55" s="125"/>
      <c r="AI55" s="101"/>
      <c r="AJ55" s="102" t="n">
        <f aca="false">SUM(T55,AH55)</f>
        <v>2</v>
      </c>
      <c r="AK55" s="103"/>
      <c r="AL55" s="100"/>
      <c r="AM55" s="104" t="n">
        <f aca="false">SUM(AJ55:AL55)</f>
        <v>2</v>
      </c>
    </row>
    <row r="56" customFormat="false" ht="15.75" hidden="false" customHeight="false" outlineLevel="0" collapsed="false">
      <c r="A56" s="41"/>
      <c r="B56" s="164"/>
      <c r="C56" s="102" t="s">
        <v>73</v>
      </c>
      <c r="D56" s="124" t="s">
        <v>36</v>
      </c>
      <c r="E56" s="166" t="s">
        <v>59</v>
      </c>
      <c r="F56" s="163" t="n">
        <v>1</v>
      </c>
      <c r="G56" s="103"/>
      <c r="H56" s="100" t="n">
        <v>10</v>
      </c>
      <c r="I56" s="100" t="n">
        <v>4</v>
      </c>
      <c r="J56" s="100"/>
      <c r="K56" s="100"/>
      <c r="L56" s="100"/>
      <c r="M56" s="100"/>
      <c r="N56" s="100"/>
      <c r="O56" s="100"/>
      <c r="P56" s="100"/>
      <c r="Q56" s="100"/>
      <c r="R56" s="101"/>
      <c r="S56" s="101"/>
      <c r="T56" s="143" t="n">
        <f aca="false">SUM(G56:S56)</f>
        <v>14</v>
      </c>
      <c r="U56" s="103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96"/>
      <c r="AH56" s="125"/>
      <c r="AI56" s="101"/>
      <c r="AJ56" s="102" t="n">
        <f aca="false">SUM(T56,AH56)</f>
        <v>14</v>
      </c>
      <c r="AK56" s="103"/>
      <c r="AL56" s="100"/>
      <c r="AM56" s="104" t="n">
        <f aca="false">SUM(AJ56:AL56)</f>
        <v>14</v>
      </c>
    </row>
    <row r="57" customFormat="false" ht="15.75" hidden="false" customHeight="false" outlineLevel="0" collapsed="false">
      <c r="A57" s="41"/>
      <c r="B57" s="164"/>
      <c r="C57" s="102" t="s">
        <v>75</v>
      </c>
      <c r="D57" s="124" t="s">
        <v>36</v>
      </c>
      <c r="E57" s="166" t="s">
        <v>59</v>
      </c>
      <c r="F57" s="163" t="n">
        <v>1</v>
      </c>
      <c r="G57" s="165"/>
      <c r="H57" s="109" t="n">
        <v>12</v>
      </c>
      <c r="I57" s="109" t="n">
        <v>8</v>
      </c>
      <c r="J57" s="109"/>
      <c r="K57" s="109"/>
      <c r="L57" s="109"/>
      <c r="M57" s="109"/>
      <c r="N57" s="109"/>
      <c r="O57" s="109"/>
      <c r="P57" s="109"/>
      <c r="Q57" s="109"/>
      <c r="R57" s="110" t="n">
        <v>6</v>
      </c>
      <c r="S57" s="110"/>
      <c r="T57" s="143" t="n">
        <f aca="false">SUM(G57:S57)</f>
        <v>26</v>
      </c>
      <c r="U57" s="103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96"/>
      <c r="AH57" s="125"/>
      <c r="AI57" s="101"/>
      <c r="AJ57" s="102" t="n">
        <f aca="false">SUM(T57,AH57)</f>
        <v>26</v>
      </c>
      <c r="AK57" s="103"/>
      <c r="AL57" s="100"/>
      <c r="AM57" s="104" t="n">
        <f aca="false">SUM(AJ57:AL57)</f>
        <v>26</v>
      </c>
    </row>
    <row r="58" customFormat="false" ht="15.75" hidden="false" customHeight="false" outlineLevel="0" collapsed="false">
      <c r="A58" s="41"/>
      <c r="B58" s="164"/>
      <c r="C58" s="102" t="s">
        <v>79</v>
      </c>
      <c r="D58" s="124" t="s">
        <v>36</v>
      </c>
      <c r="E58" s="166" t="s">
        <v>59</v>
      </c>
      <c r="F58" s="163" t="n">
        <v>1</v>
      </c>
      <c r="G58" s="165"/>
      <c r="H58" s="109" t="n">
        <v>8</v>
      </c>
      <c r="I58" s="109"/>
      <c r="J58" s="109"/>
      <c r="K58" s="109"/>
      <c r="L58" s="109"/>
      <c r="M58" s="109"/>
      <c r="N58" s="109"/>
      <c r="O58" s="109"/>
      <c r="P58" s="109"/>
      <c r="Q58" s="109"/>
      <c r="R58" s="110"/>
      <c r="S58" s="110"/>
      <c r="T58" s="143" t="n">
        <f aca="false">SUM(G58:S58)</f>
        <v>8</v>
      </c>
      <c r="U58" s="103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96"/>
      <c r="AH58" s="125"/>
      <c r="AI58" s="101"/>
      <c r="AJ58" s="102" t="n">
        <f aca="false">SUM(T58,AH58)</f>
        <v>8</v>
      </c>
      <c r="AK58" s="103"/>
      <c r="AL58" s="100"/>
      <c r="AM58" s="104" t="n">
        <f aca="false">SUM(AJ58:AL58)</f>
        <v>8</v>
      </c>
    </row>
    <row r="59" customFormat="false" ht="15.75" hidden="false" customHeight="false" outlineLevel="0" collapsed="false">
      <c r="A59" s="41"/>
      <c r="B59" s="164"/>
      <c r="C59" s="102" t="s">
        <v>80</v>
      </c>
      <c r="D59" s="124" t="s">
        <v>36</v>
      </c>
      <c r="E59" s="166" t="s">
        <v>68</v>
      </c>
      <c r="F59" s="163" t="n">
        <v>1</v>
      </c>
      <c r="G59" s="103"/>
      <c r="H59" s="100" t="n">
        <v>18</v>
      </c>
      <c r="I59" s="100"/>
      <c r="J59" s="100"/>
      <c r="K59" s="100"/>
      <c r="L59" s="100"/>
      <c r="M59" s="100"/>
      <c r="N59" s="100"/>
      <c r="O59" s="100"/>
      <c r="P59" s="100"/>
      <c r="Q59" s="100"/>
      <c r="R59" s="101" t="n">
        <v>6</v>
      </c>
      <c r="S59" s="101"/>
      <c r="T59" s="143" t="n">
        <f aca="false">SUM(G59:S59)</f>
        <v>24</v>
      </c>
      <c r="U59" s="103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96"/>
      <c r="AH59" s="125"/>
      <c r="AI59" s="101"/>
      <c r="AJ59" s="102" t="n">
        <f aca="false">SUM(T59,AH59)</f>
        <v>24</v>
      </c>
      <c r="AK59" s="103"/>
      <c r="AL59" s="100"/>
      <c r="AM59" s="104" t="n">
        <f aca="false">SUM(AJ59:AL59)</f>
        <v>24</v>
      </c>
    </row>
    <row r="60" customFormat="false" ht="15.75" hidden="false" customHeight="false" outlineLevel="0" collapsed="false">
      <c r="A60" s="41"/>
      <c r="B60" s="164"/>
      <c r="C60" s="102" t="s">
        <v>81</v>
      </c>
      <c r="D60" s="124" t="s">
        <v>36</v>
      </c>
      <c r="E60" s="166" t="s">
        <v>68</v>
      </c>
      <c r="F60" s="163" t="n">
        <v>1</v>
      </c>
      <c r="G60" s="103"/>
      <c r="H60" s="100" t="n">
        <v>12</v>
      </c>
      <c r="I60" s="100" t="n">
        <v>6</v>
      </c>
      <c r="J60" s="100"/>
      <c r="K60" s="100"/>
      <c r="L60" s="100"/>
      <c r="M60" s="100"/>
      <c r="N60" s="100"/>
      <c r="O60" s="100"/>
      <c r="P60" s="100"/>
      <c r="Q60" s="100"/>
      <c r="R60" s="101"/>
      <c r="S60" s="101"/>
      <c r="T60" s="143" t="n">
        <f aca="false">SUM(G60:S60)</f>
        <v>18</v>
      </c>
      <c r="U60" s="103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96"/>
      <c r="AH60" s="125"/>
      <c r="AI60" s="101"/>
      <c r="AJ60" s="102" t="n">
        <f aca="false">SUM(T60,AH60)</f>
        <v>18</v>
      </c>
      <c r="AK60" s="103"/>
      <c r="AL60" s="100"/>
      <c r="AM60" s="104" t="n">
        <f aca="false">SUM(AJ60:AL60)</f>
        <v>18</v>
      </c>
    </row>
    <row r="61" customFormat="false" ht="15.75" hidden="false" customHeight="false" outlineLevel="0" collapsed="false">
      <c r="A61" s="41"/>
      <c r="B61" s="164"/>
      <c r="C61" s="102" t="s">
        <v>82</v>
      </c>
      <c r="D61" s="124" t="s">
        <v>36</v>
      </c>
      <c r="E61" s="166" t="s">
        <v>68</v>
      </c>
      <c r="F61" s="163" t="n">
        <v>1</v>
      </c>
      <c r="G61" s="165"/>
      <c r="H61" s="109" t="n">
        <v>6</v>
      </c>
      <c r="I61" s="109" t="n">
        <v>2</v>
      </c>
      <c r="J61" s="109"/>
      <c r="K61" s="109"/>
      <c r="L61" s="109"/>
      <c r="M61" s="109"/>
      <c r="N61" s="109"/>
      <c r="O61" s="109"/>
      <c r="P61" s="109"/>
      <c r="Q61" s="109"/>
      <c r="R61" s="110"/>
      <c r="S61" s="110"/>
      <c r="T61" s="143" t="n">
        <f aca="false">SUM(G61:S61)</f>
        <v>8</v>
      </c>
      <c r="U61" s="103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96"/>
      <c r="AH61" s="125"/>
      <c r="AI61" s="101"/>
      <c r="AJ61" s="102" t="n">
        <f aca="false">SUM(T61,AH61)</f>
        <v>8</v>
      </c>
      <c r="AK61" s="103"/>
      <c r="AL61" s="100"/>
      <c r="AM61" s="104" t="n">
        <f aca="false">SUM(AJ61:AL61)</f>
        <v>8</v>
      </c>
    </row>
    <row r="62" customFormat="false" ht="15.75" hidden="false" customHeight="false" outlineLevel="0" collapsed="false">
      <c r="A62" s="41"/>
      <c r="B62" s="164"/>
      <c r="C62" s="102" t="s">
        <v>83</v>
      </c>
      <c r="D62" s="124" t="s">
        <v>33</v>
      </c>
      <c r="E62" s="166" t="s">
        <v>34</v>
      </c>
      <c r="F62" s="163" t="n">
        <v>1</v>
      </c>
      <c r="G62" s="103"/>
      <c r="H62" s="100" t="n">
        <v>4</v>
      </c>
      <c r="I62" s="100"/>
      <c r="J62" s="100"/>
      <c r="K62" s="100"/>
      <c r="L62" s="100"/>
      <c r="M62" s="100"/>
      <c r="N62" s="100"/>
      <c r="O62" s="100"/>
      <c r="P62" s="100"/>
      <c r="Q62" s="100"/>
      <c r="R62" s="101"/>
      <c r="S62" s="101"/>
      <c r="T62" s="143" t="n">
        <f aca="false">SUM(G62:S62)</f>
        <v>4</v>
      </c>
      <c r="U62" s="103"/>
      <c r="V62" s="100" t="n">
        <v>2</v>
      </c>
      <c r="W62" s="100" t="n">
        <v>2</v>
      </c>
      <c r="X62" s="100"/>
      <c r="Y62" s="100"/>
      <c r="Z62" s="100"/>
      <c r="AA62" s="100"/>
      <c r="AB62" s="100"/>
      <c r="AC62" s="100"/>
      <c r="AD62" s="100"/>
      <c r="AE62" s="100"/>
      <c r="AF62" s="100"/>
      <c r="AG62" s="96"/>
      <c r="AH62" s="125" t="n">
        <f aca="false">SUM(U62:AG62)</f>
        <v>4</v>
      </c>
      <c r="AI62" s="101"/>
      <c r="AJ62" s="102" t="n">
        <f aca="false">SUM(T62,AH62)</f>
        <v>8</v>
      </c>
      <c r="AK62" s="103"/>
      <c r="AL62" s="100"/>
      <c r="AM62" s="104" t="n">
        <f aca="false">SUM(AJ62:AL62)</f>
        <v>8</v>
      </c>
    </row>
    <row r="63" customFormat="false" ht="15.75" hidden="false" customHeight="false" outlineLevel="0" collapsed="false">
      <c r="A63" s="41"/>
      <c r="B63" s="164"/>
      <c r="C63" s="102" t="s">
        <v>79</v>
      </c>
      <c r="D63" s="124" t="s">
        <v>36</v>
      </c>
      <c r="E63" s="166" t="s">
        <v>34</v>
      </c>
      <c r="F63" s="163" t="n">
        <v>1</v>
      </c>
      <c r="G63" s="103"/>
      <c r="H63" s="100" t="n">
        <v>22</v>
      </c>
      <c r="I63" s="100" t="n">
        <v>2</v>
      </c>
      <c r="J63" s="100"/>
      <c r="K63" s="100"/>
      <c r="L63" s="100"/>
      <c r="M63" s="100"/>
      <c r="N63" s="100"/>
      <c r="O63" s="100"/>
      <c r="P63" s="100"/>
      <c r="Q63" s="100" t="n">
        <v>2</v>
      </c>
      <c r="R63" s="101"/>
      <c r="S63" s="101" t="n">
        <v>9</v>
      </c>
      <c r="T63" s="143" t="n">
        <f aca="false">SUM(G63:S63)</f>
        <v>35</v>
      </c>
      <c r="U63" s="103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96"/>
      <c r="AH63" s="125"/>
      <c r="AI63" s="101"/>
      <c r="AJ63" s="102" t="n">
        <f aca="false">SUM(T63,AH63)</f>
        <v>35</v>
      </c>
      <c r="AK63" s="103"/>
      <c r="AL63" s="100"/>
      <c r="AM63" s="104" t="n">
        <f aca="false">SUM(AJ63:AL63)</f>
        <v>35</v>
      </c>
    </row>
    <row r="64" customFormat="false" ht="15.75" hidden="false" customHeight="false" outlineLevel="0" collapsed="false">
      <c r="A64" s="41"/>
      <c r="B64" s="164"/>
      <c r="C64" s="102" t="s">
        <v>75</v>
      </c>
      <c r="D64" s="124" t="s">
        <v>36</v>
      </c>
      <c r="E64" s="166" t="s">
        <v>34</v>
      </c>
      <c r="F64" s="163" t="n">
        <v>1</v>
      </c>
      <c r="G64" s="103"/>
      <c r="H64" s="100" t="n">
        <v>12</v>
      </c>
      <c r="I64" s="100" t="n">
        <v>4</v>
      </c>
      <c r="J64" s="100"/>
      <c r="K64" s="100"/>
      <c r="L64" s="100"/>
      <c r="M64" s="100"/>
      <c r="N64" s="100"/>
      <c r="O64" s="100"/>
      <c r="P64" s="100"/>
      <c r="Q64" s="100"/>
      <c r="R64" s="101"/>
      <c r="S64" s="101"/>
      <c r="T64" s="143" t="n">
        <f aca="false">SUM(G64:S64)</f>
        <v>16</v>
      </c>
      <c r="U64" s="103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96"/>
      <c r="AH64" s="125"/>
      <c r="AI64" s="101"/>
      <c r="AJ64" s="102" t="n">
        <f aca="false">SUM(T64,AH64)</f>
        <v>16</v>
      </c>
      <c r="AK64" s="103"/>
      <c r="AL64" s="100"/>
      <c r="AM64" s="104" t="n">
        <f aca="false">SUM(AJ64:AL64)</f>
        <v>16</v>
      </c>
    </row>
    <row r="65" customFormat="false" ht="15.75" hidden="false" customHeight="false" outlineLevel="0" collapsed="false">
      <c r="A65" s="41"/>
      <c r="B65" s="164"/>
      <c r="C65" s="102" t="s">
        <v>83</v>
      </c>
      <c r="D65" s="124" t="s">
        <v>36</v>
      </c>
      <c r="E65" s="166" t="s">
        <v>34</v>
      </c>
      <c r="F65" s="163" t="n">
        <v>1</v>
      </c>
      <c r="G65" s="103"/>
      <c r="H65" s="100" t="n">
        <v>4</v>
      </c>
      <c r="I65" s="100"/>
      <c r="J65" s="100"/>
      <c r="K65" s="100"/>
      <c r="L65" s="100"/>
      <c r="M65" s="100"/>
      <c r="N65" s="100"/>
      <c r="O65" s="100"/>
      <c r="P65" s="100"/>
      <c r="Q65" s="100"/>
      <c r="R65" s="101"/>
      <c r="S65" s="101"/>
      <c r="T65" s="143" t="n">
        <f aca="false">SUM(G65:S65)</f>
        <v>4</v>
      </c>
      <c r="U65" s="103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96"/>
      <c r="AH65" s="125"/>
      <c r="AI65" s="101"/>
      <c r="AJ65" s="102" t="n">
        <f aca="false">SUM(T65,AH65)</f>
        <v>4</v>
      </c>
      <c r="AK65" s="103"/>
      <c r="AL65" s="100"/>
      <c r="AM65" s="104" t="n">
        <f aca="false">SUM(AJ65:AL65)</f>
        <v>4</v>
      </c>
    </row>
    <row r="66" customFormat="false" ht="15.75" hidden="false" customHeight="false" outlineLevel="0" collapsed="false">
      <c r="A66" s="41"/>
      <c r="B66" s="164"/>
      <c r="C66" s="102" t="s">
        <v>66</v>
      </c>
      <c r="D66" s="124" t="s">
        <v>33</v>
      </c>
      <c r="E66" s="166" t="s">
        <v>84</v>
      </c>
      <c r="F66" s="163" t="n">
        <v>1</v>
      </c>
      <c r="G66" s="103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1"/>
      <c r="S66" s="101"/>
      <c r="T66" s="143"/>
      <c r="U66" s="103"/>
      <c r="V66" s="100" t="n">
        <v>16</v>
      </c>
      <c r="W66" s="100"/>
      <c r="X66" s="100"/>
      <c r="Y66" s="100"/>
      <c r="Z66" s="100"/>
      <c r="AA66" s="100"/>
      <c r="AB66" s="100"/>
      <c r="AC66" s="100"/>
      <c r="AD66" s="100"/>
      <c r="AE66" s="100"/>
      <c r="AF66" s="100" t="n">
        <v>6</v>
      </c>
      <c r="AG66" s="96"/>
      <c r="AH66" s="125" t="n">
        <f aca="false">SUM(U66:AG66)</f>
        <v>22</v>
      </c>
      <c r="AI66" s="101"/>
      <c r="AJ66" s="102" t="n">
        <f aca="false">SUM(T66,AH66)</f>
        <v>22</v>
      </c>
      <c r="AK66" s="103"/>
      <c r="AL66" s="100"/>
      <c r="AM66" s="104" t="n">
        <f aca="false">SUM(AJ66:AL66)</f>
        <v>22</v>
      </c>
    </row>
    <row r="67" customFormat="false" ht="15.75" hidden="false" customHeight="false" outlineLevel="0" collapsed="false">
      <c r="A67" s="41"/>
      <c r="B67" s="164"/>
      <c r="C67" s="102" t="s">
        <v>85</v>
      </c>
      <c r="D67" s="124" t="s">
        <v>33</v>
      </c>
      <c r="E67" s="166" t="s">
        <v>84</v>
      </c>
      <c r="F67" s="163" t="n">
        <v>1</v>
      </c>
      <c r="G67" s="165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10"/>
      <c r="S67" s="110"/>
      <c r="T67" s="143"/>
      <c r="U67" s="103" t="n">
        <v>4</v>
      </c>
      <c r="V67" s="100" t="n">
        <v>12</v>
      </c>
      <c r="W67" s="100" t="n">
        <v>6</v>
      </c>
      <c r="X67" s="100"/>
      <c r="Y67" s="100"/>
      <c r="Z67" s="100"/>
      <c r="AA67" s="100"/>
      <c r="AB67" s="100"/>
      <c r="AC67" s="100"/>
      <c r="AD67" s="100"/>
      <c r="AE67" s="100"/>
      <c r="AF67" s="100"/>
      <c r="AG67" s="96"/>
      <c r="AH67" s="125" t="n">
        <f aca="false">SUM(U67:AG67)</f>
        <v>22</v>
      </c>
      <c r="AI67" s="101"/>
      <c r="AJ67" s="102" t="n">
        <f aca="false">SUM(T67,AH67)</f>
        <v>22</v>
      </c>
      <c r="AK67" s="103"/>
      <c r="AL67" s="100"/>
      <c r="AM67" s="104" t="n">
        <f aca="false">SUM(AJ67:AL67)</f>
        <v>22</v>
      </c>
    </row>
    <row r="68" customFormat="false" ht="15.75" hidden="false" customHeight="false" outlineLevel="0" collapsed="false">
      <c r="A68" s="41"/>
      <c r="B68" s="164"/>
      <c r="C68" s="102" t="s">
        <v>77</v>
      </c>
      <c r="D68" s="124" t="s">
        <v>33</v>
      </c>
      <c r="E68" s="166" t="s">
        <v>84</v>
      </c>
      <c r="F68" s="163" t="n">
        <v>1</v>
      </c>
      <c r="G68" s="103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1"/>
      <c r="S68" s="101"/>
      <c r="T68" s="143"/>
      <c r="U68" s="103"/>
      <c r="V68" s="100" t="n">
        <v>2</v>
      </c>
      <c r="W68" s="100" t="n">
        <v>2</v>
      </c>
      <c r="X68" s="100"/>
      <c r="Y68" s="100"/>
      <c r="Z68" s="100"/>
      <c r="AA68" s="100"/>
      <c r="AB68" s="100"/>
      <c r="AC68" s="100"/>
      <c r="AD68" s="100"/>
      <c r="AE68" s="100"/>
      <c r="AF68" s="100"/>
      <c r="AG68" s="96"/>
      <c r="AH68" s="125" t="n">
        <f aca="false">SUM(U68:AG68)</f>
        <v>4</v>
      </c>
      <c r="AI68" s="101"/>
      <c r="AJ68" s="102" t="n">
        <f aca="false">SUM(T68,AH68)</f>
        <v>4</v>
      </c>
      <c r="AK68" s="103"/>
      <c r="AL68" s="100"/>
      <c r="AM68" s="104" t="n">
        <f aca="false">SUM(AJ68:AL68)</f>
        <v>4</v>
      </c>
    </row>
    <row r="69" customFormat="false" ht="15.75" hidden="false" customHeight="false" outlineLevel="0" collapsed="false">
      <c r="A69" s="41"/>
      <c r="B69" s="164"/>
      <c r="C69" s="102" t="s">
        <v>78</v>
      </c>
      <c r="D69" s="124" t="s">
        <v>33</v>
      </c>
      <c r="E69" s="166" t="s">
        <v>84</v>
      </c>
      <c r="F69" s="163" t="n">
        <v>1</v>
      </c>
      <c r="G69" s="165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10"/>
      <c r="S69" s="110"/>
      <c r="T69" s="143"/>
      <c r="U69" s="103"/>
      <c r="V69" s="100" t="n">
        <v>6</v>
      </c>
      <c r="W69" s="100" t="n">
        <v>2</v>
      </c>
      <c r="X69" s="100"/>
      <c r="Y69" s="100"/>
      <c r="Z69" s="100"/>
      <c r="AA69" s="100"/>
      <c r="AB69" s="100"/>
      <c r="AC69" s="100"/>
      <c r="AD69" s="100"/>
      <c r="AE69" s="100"/>
      <c r="AF69" s="100"/>
      <c r="AG69" s="96"/>
      <c r="AH69" s="125" t="n">
        <f aca="false">SUM(U69:AG69)</f>
        <v>8</v>
      </c>
      <c r="AI69" s="101"/>
      <c r="AJ69" s="102" t="n">
        <f aca="false">SUM(T69,AH69)</f>
        <v>8</v>
      </c>
      <c r="AK69" s="103"/>
      <c r="AL69" s="100"/>
      <c r="AM69" s="104" t="n">
        <f aca="false">SUM(AJ69:AL69)</f>
        <v>8</v>
      </c>
    </row>
    <row r="70" customFormat="false" ht="15.75" hidden="false" customHeight="false" outlineLevel="0" collapsed="false">
      <c r="A70" s="41"/>
      <c r="B70" s="42"/>
      <c r="C70" s="102" t="s">
        <v>86</v>
      </c>
      <c r="D70" s="138" t="n">
        <v>2</v>
      </c>
      <c r="E70" s="160" t="s">
        <v>59</v>
      </c>
      <c r="F70" s="161" t="n">
        <v>1</v>
      </c>
      <c r="G70" s="100"/>
      <c r="H70" s="100"/>
      <c r="I70" s="100"/>
      <c r="J70" s="100"/>
      <c r="K70" s="100"/>
      <c r="L70" s="100"/>
      <c r="M70" s="100"/>
      <c r="N70" s="100"/>
      <c r="O70" s="100" t="n">
        <v>2</v>
      </c>
      <c r="P70" s="100"/>
      <c r="Q70" s="100"/>
      <c r="R70" s="101"/>
      <c r="S70" s="101"/>
      <c r="T70" s="143" t="n">
        <f aca="false">SUM(G70:S70)</f>
        <v>2</v>
      </c>
      <c r="U70" s="103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96"/>
      <c r="AH70" s="125"/>
      <c r="AI70" s="101"/>
      <c r="AJ70" s="102" t="n">
        <f aca="false">SUM(T70,AH70)</f>
        <v>2</v>
      </c>
      <c r="AK70" s="103"/>
      <c r="AL70" s="100"/>
      <c r="AM70" s="104" t="n">
        <f aca="false">SUM(AJ70:AL70)</f>
        <v>2</v>
      </c>
    </row>
    <row r="71" customFormat="false" ht="15.75" hidden="false" customHeight="false" outlineLevel="0" collapsed="false">
      <c r="A71" s="41"/>
      <c r="B71" s="41"/>
      <c r="C71" s="102" t="s">
        <v>86</v>
      </c>
      <c r="D71" s="149" t="n">
        <v>3</v>
      </c>
      <c r="E71" s="167" t="s">
        <v>59</v>
      </c>
      <c r="F71" s="168" t="n">
        <v>1</v>
      </c>
      <c r="G71" s="109"/>
      <c r="H71" s="109"/>
      <c r="I71" s="109"/>
      <c r="J71" s="109"/>
      <c r="K71" s="109"/>
      <c r="L71" s="109"/>
      <c r="M71" s="109"/>
      <c r="N71" s="109"/>
      <c r="O71" s="109" t="n">
        <v>30</v>
      </c>
      <c r="P71" s="109"/>
      <c r="Q71" s="109"/>
      <c r="R71" s="110"/>
      <c r="S71" s="110"/>
      <c r="T71" s="143" t="n">
        <f aca="false">SUM(G71:S71)</f>
        <v>30</v>
      </c>
      <c r="U71" s="103"/>
      <c r="V71" s="100"/>
      <c r="W71" s="100"/>
      <c r="X71" s="100"/>
      <c r="Y71" s="100"/>
      <c r="Z71" s="100"/>
      <c r="AA71" s="100"/>
      <c r="AB71" s="100"/>
      <c r="AC71" s="100" t="n">
        <v>28</v>
      </c>
      <c r="AD71" s="100"/>
      <c r="AE71" s="100"/>
      <c r="AF71" s="100"/>
      <c r="AG71" s="96"/>
      <c r="AH71" s="125" t="n">
        <f aca="false">SUM(U71:AG71)</f>
        <v>28</v>
      </c>
      <c r="AI71" s="101"/>
      <c r="AJ71" s="102" t="n">
        <f aca="false">SUM(T71,AH71)</f>
        <v>58</v>
      </c>
      <c r="AK71" s="103"/>
      <c r="AL71" s="100"/>
      <c r="AM71" s="104" t="n">
        <f aca="false">SUM(AJ71:AL71)</f>
        <v>58</v>
      </c>
    </row>
    <row r="72" customFormat="false" ht="15.75" hidden="false" customHeight="false" outlineLevel="0" collapsed="false">
      <c r="A72" s="41"/>
      <c r="B72" s="164"/>
      <c r="C72" s="102" t="s">
        <v>86</v>
      </c>
      <c r="D72" s="149" t="n">
        <v>5</v>
      </c>
      <c r="E72" s="167" t="s">
        <v>59</v>
      </c>
      <c r="F72" s="168" t="n">
        <v>1</v>
      </c>
      <c r="G72" s="103"/>
      <c r="H72" s="100"/>
      <c r="I72" s="100"/>
      <c r="J72" s="100"/>
      <c r="K72" s="100"/>
      <c r="L72" s="100"/>
      <c r="M72" s="100"/>
      <c r="N72" s="100"/>
      <c r="O72" s="100" t="n">
        <v>4</v>
      </c>
      <c r="P72" s="100"/>
      <c r="Q72" s="100"/>
      <c r="R72" s="101"/>
      <c r="S72" s="101"/>
      <c r="T72" s="143" t="n">
        <f aca="false">SUM(G72:S72)</f>
        <v>4</v>
      </c>
      <c r="U72" s="103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96"/>
      <c r="AH72" s="125"/>
      <c r="AI72" s="101"/>
      <c r="AJ72" s="102" t="n">
        <f aca="false">SUM(T72,AH72)</f>
        <v>4</v>
      </c>
      <c r="AK72" s="103"/>
      <c r="AL72" s="100"/>
      <c r="AM72" s="104" t="n">
        <f aca="false">SUM(AJ72:AL72)</f>
        <v>4</v>
      </c>
    </row>
    <row r="73" customFormat="false" ht="15.75" hidden="false" customHeight="false" outlineLevel="0" collapsed="false">
      <c r="A73" s="41"/>
      <c r="B73" s="164"/>
      <c r="C73" s="102" t="s">
        <v>86</v>
      </c>
      <c r="D73" s="124" t="s">
        <v>36</v>
      </c>
      <c r="E73" s="166" t="s">
        <v>59</v>
      </c>
      <c r="F73" s="163" t="n">
        <v>1</v>
      </c>
      <c r="G73" s="103"/>
      <c r="H73" s="100"/>
      <c r="I73" s="100"/>
      <c r="J73" s="100"/>
      <c r="K73" s="100"/>
      <c r="L73" s="100"/>
      <c r="M73" s="100"/>
      <c r="N73" s="100"/>
      <c r="O73" s="100" t="n">
        <v>4</v>
      </c>
      <c r="P73" s="100"/>
      <c r="Q73" s="100"/>
      <c r="R73" s="101"/>
      <c r="S73" s="101"/>
      <c r="T73" s="143" t="n">
        <f aca="false">SUM(G73:S73)</f>
        <v>4</v>
      </c>
      <c r="U73" s="103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96"/>
      <c r="AH73" s="125"/>
      <c r="AI73" s="101"/>
      <c r="AJ73" s="102" t="n">
        <f aca="false">SUM(T73,AH73)</f>
        <v>4</v>
      </c>
      <c r="AK73" s="103"/>
      <c r="AL73" s="100"/>
      <c r="AM73" s="104" t="n">
        <f aca="false">SUM(AJ73:AL73)</f>
        <v>4</v>
      </c>
    </row>
    <row r="74" customFormat="false" ht="15.75" hidden="false" customHeight="false" outlineLevel="0" collapsed="false">
      <c r="A74" s="41"/>
      <c r="B74" s="164"/>
      <c r="C74" s="102" t="s">
        <v>86</v>
      </c>
      <c r="D74" s="124" t="s">
        <v>39</v>
      </c>
      <c r="E74" s="166" t="s">
        <v>59</v>
      </c>
      <c r="F74" s="163" t="n">
        <v>1</v>
      </c>
      <c r="G74" s="103"/>
      <c r="H74" s="100"/>
      <c r="I74" s="100"/>
      <c r="J74" s="100"/>
      <c r="K74" s="100"/>
      <c r="L74" s="100"/>
      <c r="M74" s="100"/>
      <c r="N74" s="100"/>
      <c r="O74" s="100" t="n">
        <v>2</v>
      </c>
      <c r="P74" s="100"/>
      <c r="Q74" s="100"/>
      <c r="R74" s="101"/>
      <c r="S74" s="101"/>
      <c r="T74" s="143" t="n">
        <f aca="false">SUM(G74:S74)</f>
        <v>2</v>
      </c>
      <c r="U74" s="103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96"/>
      <c r="AH74" s="125"/>
      <c r="AI74" s="101"/>
      <c r="AJ74" s="102" t="n">
        <f aca="false">SUM(T74,AH74)</f>
        <v>2</v>
      </c>
      <c r="AK74" s="103"/>
      <c r="AL74" s="100"/>
      <c r="AM74" s="104" t="n">
        <f aca="false">SUM(AJ74:AL74)</f>
        <v>2</v>
      </c>
    </row>
    <row r="75" customFormat="false" ht="15.75" hidden="false" customHeight="false" outlineLevel="0" collapsed="false">
      <c r="A75" s="41"/>
      <c r="B75" s="164"/>
      <c r="C75" s="102" t="s">
        <v>86</v>
      </c>
      <c r="D75" s="124" t="s">
        <v>36</v>
      </c>
      <c r="E75" s="166" t="s">
        <v>34</v>
      </c>
      <c r="F75" s="163" t="n">
        <v>1</v>
      </c>
      <c r="G75" s="165"/>
      <c r="H75" s="109"/>
      <c r="I75" s="109"/>
      <c r="J75" s="109"/>
      <c r="K75" s="109"/>
      <c r="L75" s="109"/>
      <c r="M75" s="109"/>
      <c r="N75" s="109"/>
      <c r="O75" s="109" t="n">
        <v>4</v>
      </c>
      <c r="P75" s="109"/>
      <c r="Q75" s="109"/>
      <c r="R75" s="110"/>
      <c r="S75" s="110"/>
      <c r="T75" s="143" t="n">
        <f aca="false">SUM(G75:S75)</f>
        <v>4</v>
      </c>
      <c r="U75" s="103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96"/>
      <c r="AH75" s="125"/>
      <c r="AI75" s="101"/>
      <c r="AJ75" s="102" t="n">
        <f aca="false">SUM(T75,AH75)</f>
        <v>4</v>
      </c>
      <c r="AK75" s="103"/>
      <c r="AL75" s="100"/>
      <c r="AM75" s="104" t="n">
        <f aca="false">SUM(AJ75:AL75)</f>
        <v>4</v>
      </c>
    </row>
    <row r="76" customFormat="false" ht="15.75" hidden="false" customHeight="false" outlineLevel="0" collapsed="false">
      <c r="A76" s="41"/>
      <c r="B76" s="164"/>
      <c r="C76" s="102" t="s">
        <v>86</v>
      </c>
      <c r="D76" s="124" t="s">
        <v>39</v>
      </c>
      <c r="E76" s="166" t="s">
        <v>34</v>
      </c>
      <c r="F76" s="163" t="n">
        <v>1</v>
      </c>
      <c r="G76" s="165"/>
      <c r="H76" s="109"/>
      <c r="I76" s="109"/>
      <c r="J76" s="109"/>
      <c r="K76" s="109"/>
      <c r="L76" s="109"/>
      <c r="M76" s="109"/>
      <c r="N76" s="109"/>
      <c r="O76" s="109" t="n">
        <v>32</v>
      </c>
      <c r="P76" s="109"/>
      <c r="Q76" s="109"/>
      <c r="R76" s="110"/>
      <c r="S76" s="110"/>
      <c r="T76" s="143" t="n">
        <f aca="false">SUM(G76:S76)</f>
        <v>32</v>
      </c>
      <c r="U76" s="103"/>
      <c r="V76" s="100"/>
      <c r="W76" s="100"/>
      <c r="X76" s="100"/>
      <c r="Y76" s="100"/>
      <c r="Z76" s="100"/>
      <c r="AA76" s="100"/>
      <c r="AB76" s="100"/>
      <c r="AC76" s="100" t="n">
        <v>28</v>
      </c>
      <c r="AD76" s="100"/>
      <c r="AE76" s="100"/>
      <c r="AF76" s="100"/>
      <c r="AG76" s="96"/>
      <c r="AH76" s="125" t="n">
        <f aca="false">SUM(U76:AG76)</f>
        <v>28</v>
      </c>
      <c r="AI76" s="101"/>
      <c r="AJ76" s="102" t="n">
        <f aca="false">SUM(T76,AH76)</f>
        <v>60</v>
      </c>
      <c r="AK76" s="103"/>
      <c r="AL76" s="100"/>
      <c r="AM76" s="104" t="n">
        <f aca="false">SUM(AJ76:AL76)</f>
        <v>60</v>
      </c>
    </row>
    <row r="77" customFormat="false" ht="15.75" hidden="false" customHeight="false" outlineLevel="0" collapsed="false">
      <c r="A77" s="41"/>
      <c r="B77" s="42"/>
      <c r="C77" s="102" t="s">
        <v>27</v>
      </c>
      <c r="D77" s="149" t="n">
        <v>3</v>
      </c>
      <c r="E77" s="167" t="s">
        <v>59</v>
      </c>
      <c r="F77" s="168" t="n">
        <v>1</v>
      </c>
      <c r="G77" s="100"/>
      <c r="H77" s="100"/>
      <c r="I77" s="100"/>
      <c r="J77" s="100"/>
      <c r="K77" s="100"/>
      <c r="L77" s="100"/>
      <c r="M77" s="100"/>
      <c r="N77" s="100"/>
      <c r="O77" s="100"/>
      <c r="P77" s="100" t="n">
        <v>15</v>
      </c>
      <c r="Q77" s="100"/>
      <c r="R77" s="101"/>
      <c r="S77" s="101"/>
      <c r="T77" s="143" t="n">
        <f aca="false">SUM(G77:S77)</f>
        <v>15</v>
      </c>
      <c r="U77" s="103"/>
      <c r="V77" s="100"/>
      <c r="W77" s="100"/>
      <c r="X77" s="100"/>
      <c r="Y77" s="100"/>
      <c r="Z77" s="100"/>
      <c r="AA77" s="100"/>
      <c r="AB77" s="100"/>
      <c r="AC77" s="100"/>
      <c r="AD77" s="100" t="n">
        <v>14</v>
      </c>
      <c r="AE77" s="100"/>
      <c r="AF77" s="100"/>
      <c r="AG77" s="96"/>
      <c r="AH77" s="125" t="n">
        <f aca="false">SUM(U77:AG77)</f>
        <v>14</v>
      </c>
      <c r="AI77" s="101"/>
      <c r="AJ77" s="102" t="n">
        <f aca="false">SUM(T77,AH77)</f>
        <v>29</v>
      </c>
      <c r="AK77" s="103"/>
      <c r="AL77" s="100"/>
      <c r="AM77" s="104" t="n">
        <f aca="false">SUM(AJ77:AL77)</f>
        <v>29</v>
      </c>
    </row>
    <row r="78" customFormat="false" ht="16.5" hidden="false" customHeight="false" outlineLevel="0" collapsed="false">
      <c r="A78" s="41"/>
      <c r="B78" s="164"/>
      <c r="C78" s="128" t="s">
        <v>27</v>
      </c>
      <c r="D78" s="124" t="s">
        <v>39</v>
      </c>
      <c r="E78" s="166" t="s">
        <v>34</v>
      </c>
      <c r="F78" s="163" t="n">
        <v>1</v>
      </c>
      <c r="G78" s="103"/>
      <c r="H78" s="100"/>
      <c r="I78" s="100"/>
      <c r="J78" s="100"/>
      <c r="K78" s="100"/>
      <c r="L78" s="100"/>
      <c r="M78" s="100"/>
      <c r="N78" s="100"/>
      <c r="O78" s="100"/>
      <c r="P78" s="100" t="n">
        <v>14</v>
      </c>
      <c r="Q78" s="100"/>
      <c r="R78" s="101"/>
      <c r="S78" s="101"/>
      <c r="T78" s="143" t="n">
        <f aca="false">SUM(G78:S78)</f>
        <v>14</v>
      </c>
      <c r="U78" s="103"/>
      <c r="V78" s="100"/>
      <c r="W78" s="100"/>
      <c r="X78" s="100"/>
      <c r="Y78" s="100"/>
      <c r="Z78" s="100"/>
      <c r="AA78" s="100"/>
      <c r="AB78" s="100"/>
      <c r="AC78" s="100"/>
      <c r="AD78" s="100" t="n">
        <v>14</v>
      </c>
      <c r="AE78" s="100"/>
      <c r="AF78" s="100"/>
      <c r="AG78" s="96"/>
      <c r="AH78" s="125" t="n">
        <f aca="false">SUM(U78:AG78)</f>
        <v>14</v>
      </c>
      <c r="AI78" s="101"/>
      <c r="AJ78" s="102" t="n">
        <f aca="false">SUM(T78,AH78)</f>
        <v>28</v>
      </c>
      <c r="AK78" s="103"/>
      <c r="AL78" s="100"/>
      <c r="AM78" s="104" t="n">
        <f aca="false">SUM(AJ78:AL78)</f>
        <v>28</v>
      </c>
    </row>
    <row r="79" customFormat="false" ht="21" hidden="false" customHeight="true" outlineLevel="0" collapsed="false">
      <c r="A79" s="63"/>
      <c r="B79" s="116" t="s">
        <v>42</v>
      </c>
      <c r="C79" s="169"/>
      <c r="D79" s="117"/>
      <c r="E79" s="117"/>
      <c r="F79" s="157"/>
      <c r="G79" s="69"/>
      <c r="H79" s="69" t="n">
        <f aca="false">SUM(H48:H78)</f>
        <v>120</v>
      </c>
      <c r="I79" s="69" t="n">
        <f aca="false">SUM(I48:I78)</f>
        <v>38</v>
      </c>
      <c r="J79" s="69"/>
      <c r="K79" s="69"/>
      <c r="L79" s="69"/>
      <c r="M79" s="69"/>
      <c r="N79" s="69" t="n">
        <f aca="false">SUM(N48:N78)</f>
        <v>4</v>
      </c>
      <c r="O79" s="69" t="n">
        <f aca="false">SUM(O48:O78)</f>
        <v>78</v>
      </c>
      <c r="P79" s="69" t="n">
        <f aca="false">SUM(P48:P78)</f>
        <v>29</v>
      </c>
      <c r="Q79" s="69" t="n">
        <f aca="false">SUM(Q48:Q78)</f>
        <v>4</v>
      </c>
      <c r="R79" s="69" t="n">
        <f aca="false">SUM(R48:R78)</f>
        <v>12</v>
      </c>
      <c r="S79" s="69" t="n">
        <f aca="false">SUM(S48:S78)</f>
        <v>18</v>
      </c>
      <c r="T79" s="71" t="n">
        <f aca="false">SUM(G79:S79)</f>
        <v>303</v>
      </c>
      <c r="U79" s="69" t="n">
        <f aca="false">SUM(U48:U78)</f>
        <v>4</v>
      </c>
      <c r="V79" s="69" t="n">
        <f aca="false">SUM(V48:V78)</f>
        <v>72</v>
      </c>
      <c r="W79" s="69" t="n">
        <f aca="false">SUM(W48:W78)</f>
        <v>16</v>
      </c>
      <c r="X79" s="69"/>
      <c r="Y79" s="69"/>
      <c r="Z79" s="69"/>
      <c r="AA79" s="69"/>
      <c r="AB79" s="69" t="n">
        <f aca="false">SUM(AB48:AB78)</f>
        <v>6</v>
      </c>
      <c r="AC79" s="69" t="n">
        <f aca="false">SUM(AC48:AC78)</f>
        <v>56</v>
      </c>
      <c r="AD79" s="69" t="n">
        <f aca="false">SUM(AD48:AD78)</f>
        <v>28</v>
      </c>
      <c r="AE79" s="69"/>
      <c r="AF79" s="69" t="n">
        <f aca="false">SUM(AF48:AF78)</f>
        <v>12</v>
      </c>
      <c r="AG79" s="69"/>
      <c r="AH79" s="71" t="n">
        <f aca="false">SUM(U79:AG79)</f>
        <v>194</v>
      </c>
      <c r="AI79" s="73"/>
      <c r="AJ79" s="71" t="n">
        <f aca="false">SUM(AJ48:AJ78)</f>
        <v>497</v>
      </c>
      <c r="AK79" s="72"/>
      <c r="AL79" s="70"/>
      <c r="AM79" s="71" t="n">
        <f aca="false">SUM(AJ79:AL79)</f>
        <v>497</v>
      </c>
    </row>
    <row r="80" customFormat="false" ht="15.75" hidden="false" customHeight="false" outlineLevel="0" collapsed="false">
      <c r="A80" s="41" t="n">
        <v>5</v>
      </c>
      <c r="B80" s="42" t="s">
        <v>87</v>
      </c>
      <c r="C80" s="159" t="s">
        <v>88</v>
      </c>
      <c r="D80" s="138" t="n">
        <v>2</v>
      </c>
      <c r="E80" s="160" t="s">
        <v>59</v>
      </c>
      <c r="F80" s="161" t="n">
        <v>1</v>
      </c>
      <c r="G80" s="103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1"/>
      <c r="S80" s="101"/>
      <c r="T80" s="102"/>
      <c r="U80" s="103" t="n">
        <v>4</v>
      </c>
      <c r="V80" s="100" t="n">
        <v>24</v>
      </c>
      <c r="W80" s="100"/>
      <c r="X80" s="100" t="n">
        <v>4</v>
      </c>
      <c r="Y80" s="100"/>
      <c r="Z80" s="100"/>
      <c r="AA80" s="100"/>
      <c r="AB80" s="100"/>
      <c r="AC80" s="100"/>
      <c r="AD80" s="100"/>
      <c r="AE80" s="100"/>
      <c r="AF80" s="100" t="n">
        <v>6</v>
      </c>
      <c r="AG80" s="96"/>
      <c r="AH80" s="125" t="n">
        <f aca="false">SUM(U80:AG80)</f>
        <v>38</v>
      </c>
      <c r="AI80" s="101"/>
      <c r="AJ80" s="102" t="n">
        <f aca="false">SUM(T80,AH80)</f>
        <v>38</v>
      </c>
      <c r="AK80" s="103"/>
      <c r="AL80" s="100"/>
      <c r="AM80" s="104" t="n">
        <f aca="false">SUM(AJ80:AL80)</f>
        <v>38</v>
      </c>
    </row>
    <row r="81" customFormat="false" ht="15.75" hidden="false" customHeight="false" outlineLevel="0" collapsed="false">
      <c r="A81" s="41"/>
      <c r="B81" s="42" t="s">
        <v>74</v>
      </c>
      <c r="C81" s="102" t="s">
        <v>88</v>
      </c>
      <c r="D81" s="138" t="n">
        <v>3</v>
      </c>
      <c r="E81" s="160" t="s">
        <v>59</v>
      </c>
      <c r="F81" s="161" t="n">
        <v>1</v>
      </c>
      <c r="G81" s="103"/>
      <c r="H81" s="100" t="n">
        <v>24</v>
      </c>
      <c r="I81" s="100" t="n">
        <v>10</v>
      </c>
      <c r="J81" s="100"/>
      <c r="K81" s="100"/>
      <c r="L81" s="100"/>
      <c r="M81" s="100"/>
      <c r="N81" s="100"/>
      <c r="O81" s="100"/>
      <c r="P81" s="100"/>
      <c r="Q81" s="100" t="n">
        <v>2</v>
      </c>
      <c r="R81" s="101"/>
      <c r="S81" s="101" t="n">
        <v>9</v>
      </c>
      <c r="T81" s="143" t="n">
        <f aca="false">SUM(G81:S81)</f>
        <v>45</v>
      </c>
      <c r="U81" s="103"/>
      <c r="V81" s="100" t="n">
        <v>40</v>
      </c>
      <c r="W81" s="100"/>
      <c r="X81" s="100"/>
      <c r="Y81" s="100"/>
      <c r="Z81" s="100"/>
      <c r="AA81" s="100"/>
      <c r="AB81" s="100"/>
      <c r="AC81" s="100"/>
      <c r="AD81" s="100"/>
      <c r="AE81" s="100"/>
      <c r="AF81" s="100" t="n">
        <v>6</v>
      </c>
      <c r="AG81" s="96"/>
      <c r="AH81" s="125" t="n">
        <f aca="false">SUM(U81:AG81)</f>
        <v>46</v>
      </c>
      <c r="AI81" s="101"/>
      <c r="AJ81" s="102" t="n">
        <f aca="false">SUM(T81,AH81)</f>
        <v>91</v>
      </c>
      <c r="AK81" s="103"/>
      <c r="AL81" s="100"/>
      <c r="AM81" s="104" t="n">
        <f aca="false">SUM(AJ81:AL81)</f>
        <v>91</v>
      </c>
    </row>
    <row r="82" customFormat="false" ht="15.75" hidden="false" customHeight="false" outlineLevel="0" collapsed="false">
      <c r="A82" s="41"/>
      <c r="B82" s="42" t="s">
        <v>89</v>
      </c>
      <c r="C82" s="102" t="s">
        <v>90</v>
      </c>
      <c r="D82" s="138" t="n">
        <v>3</v>
      </c>
      <c r="E82" s="160" t="s">
        <v>59</v>
      </c>
      <c r="F82" s="161" t="n">
        <v>1</v>
      </c>
      <c r="G82" s="103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1"/>
      <c r="S82" s="101"/>
      <c r="T82" s="143"/>
      <c r="U82" s="103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96" t="n">
        <v>9</v>
      </c>
      <c r="AH82" s="125" t="n">
        <f aca="false">SUM(U82:AG82)</f>
        <v>9</v>
      </c>
      <c r="AI82" s="101"/>
      <c r="AJ82" s="102" t="n">
        <f aca="false">SUM(T82,AH82)</f>
        <v>9</v>
      </c>
      <c r="AK82" s="103"/>
      <c r="AL82" s="100"/>
      <c r="AM82" s="104" t="n">
        <f aca="false">SUM(AJ82:AL82)</f>
        <v>9</v>
      </c>
    </row>
    <row r="83" customFormat="false" ht="15.75" hidden="false" customHeight="false" outlineLevel="0" collapsed="false">
      <c r="A83" s="41"/>
      <c r="B83" s="42"/>
      <c r="C83" s="102" t="s">
        <v>63</v>
      </c>
      <c r="D83" s="138" t="n">
        <v>4</v>
      </c>
      <c r="E83" s="160" t="s">
        <v>59</v>
      </c>
      <c r="F83" s="161" t="n">
        <v>1</v>
      </c>
      <c r="G83" s="103"/>
      <c r="H83" s="100" t="n">
        <v>12</v>
      </c>
      <c r="I83" s="100" t="n">
        <v>16</v>
      </c>
      <c r="J83" s="100"/>
      <c r="K83" s="100"/>
      <c r="L83" s="100"/>
      <c r="M83" s="100" t="n">
        <v>6</v>
      </c>
      <c r="N83" s="100"/>
      <c r="O83" s="100"/>
      <c r="P83" s="100"/>
      <c r="Q83" s="100"/>
      <c r="R83" s="101" t="n">
        <v>6</v>
      </c>
      <c r="S83" s="101"/>
      <c r="T83" s="143" t="n">
        <f aca="false">SUM(G83:S83)</f>
        <v>40</v>
      </c>
      <c r="U83" s="103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96"/>
      <c r="AH83" s="125"/>
      <c r="AI83" s="101"/>
      <c r="AJ83" s="102" t="n">
        <f aca="false">SUM(T83,AH83)</f>
        <v>40</v>
      </c>
      <c r="AK83" s="103"/>
      <c r="AL83" s="100"/>
      <c r="AM83" s="104" t="n">
        <f aca="false">SUM(AJ83:AL83)</f>
        <v>40</v>
      </c>
    </row>
    <row r="84" customFormat="false" ht="15.75" hidden="false" customHeight="false" outlineLevel="0" collapsed="false">
      <c r="A84" s="41"/>
      <c r="B84" s="42"/>
      <c r="C84" s="102" t="s">
        <v>61</v>
      </c>
      <c r="D84" s="138" t="n">
        <v>4</v>
      </c>
      <c r="E84" s="160" t="s">
        <v>59</v>
      </c>
      <c r="F84" s="161" t="n">
        <v>1</v>
      </c>
      <c r="G84" s="103"/>
      <c r="H84" s="100"/>
      <c r="I84" s="100"/>
      <c r="J84" s="100" t="n">
        <v>50</v>
      </c>
      <c r="K84" s="100"/>
      <c r="L84" s="100"/>
      <c r="M84" s="100"/>
      <c r="N84" s="100"/>
      <c r="O84" s="100"/>
      <c r="P84" s="100"/>
      <c r="Q84" s="100"/>
      <c r="R84" s="101" t="n">
        <v>6</v>
      </c>
      <c r="S84" s="101"/>
      <c r="T84" s="143" t="n">
        <f aca="false">SUM(G84:S84)</f>
        <v>56</v>
      </c>
      <c r="U84" s="103"/>
      <c r="V84" s="100"/>
      <c r="W84" s="100"/>
      <c r="X84" s="100" t="n">
        <v>36</v>
      </c>
      <c r="Y84" s="100"/>
      <c r="Z84" s="100"/>
      <c r="AA84" s="100"/>
      <c r="AB84" s="100"/>
      <c r="AC84" s="100"/>
      <c r="AD84" s="100"/>
      <c r="AE84" s="100"/>
      <c r="AF84" s="100"/>
      <c r="AG84" s="96"/>
      <c r="AH84" s="125" t="n">
        <f aca="false">SUM(U84:AG84)</f>
        <v>36</v>
      </c>
      <c r="AI84" s="101"/>
      <c r="AJ84" s="102" t="n">
        <f aca="false">SUM(T84,AH84)</f>
        <v>92</v>
      </c>
      <c r="AK84" s="103"/>
      <c r="AL84" s="100"/>
      <c r="AM84" s="104" t="n">
        <f aca="false">SUM(AJ84:AL84)</f>
        <v>92</v>
      </c>
    </row>
    <row r="85" customFormat="false" ht="15.75" hidden="false" customHeight="false" outlineLevel="0" collapsed="false">
      <c r="A85" s="41"/>
      <c r="B85" s="42"/>
      <c r="C85" s="102" t="s">
        <v>63</v>
      </c>
      <c r="D85" s="138" t="n">
        <v>5</v>
      </c>
      <c r="E85" s="160" t="s">
        <v>59</v>
      </c>
      <c r="F85" s="161" t="n">
        <v>1</v>
      </c>
      <c r="G85" s="103"/>
      <c r="H85" s="100" t="n">
        <v>20</v>
      </c>
      <c r="I85" s="100"/>
      <c r="J85" s="100" t="n">
        <v>48</v>
      </c>
      <c r="K85" s="100"/>
      <c r="L85" s="100"/>
      <c r="M85" s="100"/>
      <c r="N85" s="100"/>
      <c r="O85" s="100"/>
      <c r="P85" s="100"/>
      <c r="Q85" s="100"/>
      <c r="R85" s="101" t="n">
        <v>6</v>
      </c>
      <c r="S85" s="101"/>
      <c r="T85" s="143" t="n">
        <f aca="false">SUM(G85:S85)</f>
        <v>74</v>
      </c>
      <c r="U85" s="103"/>
      <c r="V85" s="100"/>
      <c r="W85" s="100"/>
      <c r="X85" s="100" t="n">
        <v>34</v>
      </c>
      <c r="Y85" s="100"/>
      <c r="Z85" s="100"/>
      <c r="AA85" s="100"/>
      <c r="AB85" s="100"/>
      <c r="AC85" s="100"/>
      <c r="AD85" s="100"/>
      <c r="AE85" s="100"/>
      <c r="AF85" s="100" t="n">
        <v>6</v>
      </c>
      <c r="AG85" s="96"/>
      <c r="AH85" s="125" t="n">
        <f aca="false">SUM(U85:AG85)</f>
        <v>40</v>
      </c>
      <c r="AI85" s="101"/>
      <c r="AJ85" s="102" t="n">
        <f aca="false">SUM(T85,AH85)</f>
        <v>114</v>
      </c>
      <c r="AK85" s="103"/>
      <c r="AL85" s="100"/>
      <c r="AM85" s="104" t="n">
        <f aca="false">SUM(AJ85:AL85)</f>
        <v>114</v>
      </c>
    </row>
    <row r="86" customFormat="false" ht="15.75" hidden="false" customHeight="false" outlineLevel="0" collapsed="false">
      <c r="A86" s="41"/>
      <c r="B86" s="42"/>
      <c r="C86" s="102" t="s">
        <v>61</v>
      </c>
      <c r="D86" s="138" t="n">
        <v>5</v>
      </c>
      <c r="E86" s="160" t="s">
        <v>59</v>
      </c>
      <c r="F86" s="161" t="n">
        <v>1</v>
      </c>
      <c r="G86" s="103"/>
      <c r="H86" s="100"/>
      <c r="I86" s="100"/>
      <c r="J86" s="100" t="n">
        <v>30</v>
      </c>
      <c r="K86" s="100"/>
      <c r="L86" s="100"/>
      <c r="M86" s="100"/>
      <c r="N86" s="100"/>
      <c r="O86" s="100"/>
      <c r="P86" s="100"/>
      <c r="Q86" s="100"/>
      <c r="R86" s="101" t="n">
        <v>6</v>
      </c>
      <c r="S86" s="101"/>
      <c r="T86" s="143" t="n">
        <f aca="false">SUM(G86:S86)</f>
        <v>36</v>
      </c>
      <c r="U86" s="103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 t="n">
        <v>6</v>
      </c>
      <c r="AG86" s="96"/>
      <c r="AH86" s="125" t="n">
        <f aca="false">SUM(U86:AG86)</f>
        <v>6</v>
      </c>
      <c r="AI86" s="101"/>
      <c r="AJ86" s="102" t="n">
        <f aca="false">SUM(T86,AH86)</f>
        <v>42</v>
      </c>
      <c r="AK86" s="103"/>
      <c r="AL86" s="100"/>
      <c r="AM86" s="104" t="n">
        <f aca="false">SUM(AJ86:AL86)</f>
        <v>42</v>
      </c>
    </row>
    <row r="87" customFormat="false" ht="15.75" hidden="false" customHeight="false" outlineLevel="0" collapsed="false">
      <c r="A87" s="41"/>
      <c r="B87" s="164"/>
      <c r="C87" s="102" t="s">
        <v>91</v>
      </c>
      <c r="D87" s="149" t="s">
        <v>36</v>
      </c>
      <c r="E87" s="167" t="s">
        <v>59</v>
      </c>
      <c r="F87" s="168" t="n">
        <v>1</v>
      </c>
      <c r="G87" s="103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1"/>
      <c r="S87" s="101"/>
      <c r="T87" s="143"/>
      <c r="U87" s="103" t="n">
        <v>2</v>
      </c>
      <c r="V87" s="100" t="n">
        <v>22</v>
      </c>
      <c r="W87" s="100" t="n">
        <v>24</v>
      </c>
      <c r="X87" s="100"/>
      <c r="Y87" s="100"/>
      <c r="Z87" s="100"/>
      <c r="AA87" s="100"/>
      <c r="AB87" s="100"/>
      <c r="AC87" s="100"/>
      <c r="AD87" s="100"/>
      <c r="AE87" s="100"/>
      <c r="AF87" s="100"/>
      <c r="AG87" s="96"/>
      <c r="AH87" s="125" t="n">
        <f aca="false">SUM(U87:AG87)</f>
        <v>48</v>
      </c>
      <c r="AI87" s="101"/>
      <c r="AJ87" s="102" t="n">
        <f aca="false">SUM(T87,AH87)</f>
        <v>48</v>
      </c>
      <c r="AK87" s="103"/>
      <c r="AL87" s="100"/>
      <c r="AM87" s="104" t="n">
        <f aca="false">SUM(AJ87:AL87)</f>
        <v>48</v>
      </c>
    </row>
    <row r="88" customFormat="false" ht="15.75" hidden="false" customHeight="false" outlineLevel="0" collapsed="false">
      <c r="A88" s="41"/>
      <c r="B88" s="42"/>
      <c r="C88" s="102" t="s">
        <v>61</v>
      </c>
      <c r="D88" s="149" t="s">
        <v>39</v>
      </c>
      <c r="E88" s="167" t="s">
        <v>59</v>
      </c>
      <c r="F88" s="168" t="n">
        <v>1</v>
      </c>
      <c r="G88" s="100"/>
      <c r="H88" s="100"/>
      <c r="I88" s="100" t="n">
        <v>4</v>
      </c>
      <c r="J88" s="100"/>
      <c r="K88" s="100"/>
      <c r="L88" s="100"/>
      <c r="M88" s="100"/>
      <c r="N88" s="100"/>
      <c r="O88" s="100"/>
      <c r="P88" s="100"/>
      <c r="Q88" s="100"/>
      <c r="R88" s="101"/>
      <c r="S88" s="101"/>
      <c r="T88" s="143" t="n">
        <f aca="false">SUM(G88:S88)</f>
        <v>4</v>
      </c>
      <c r="U88" s="103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96"/>
      <c r="AH88" s="125"/>
      <c r="AI88" s="101"/>
      <c r="AJ88" s="102" t="n">
        <f aca="false">SUM(T88,AH88)</f>
        <v>4</v>
      </c>
      <c r="AK88" s="103"/>
      <c r="AL88" s="100"/>
      <c r="AM88" s="104" t="n">
        <f aca="false">SUM(AJ88:AL88)</f>
        <v>4</v>
      </c>
    </row>
    <row r="89" customFormat="false" ht="15.75" hidden="false" customHeight="false" outlineLevel="0" collapsed="false">
      <c r="A89" s="41"/>
      <c r="B89" s="41"/>
      <c r="C89" s="102" t="s">
        <v>91</v>
      </c>
      <c r="D89" s="149" t="s">
        <v>39</v>
      </c>
      <c r="E89" s="167" t="s">
        <v>59</v>
      </c>
      <c r="F89" s="168" t="n">
        <v>1</v>
      </c>
      <c r="G89" s="109"/>
      <c r="H89" s="109" t="n">
        <v>14</v>
      </c>
      <c r="I89" s="109" t="n">
        <v>8</v>
      </c>
      <c r="J89" s="109"/>
      <c r="K89" s="109"/>
      <c r="L89" s="109"/>
      <c r="M89" s="109"/>
      <c r="N89" s="109"/>
      <c r="O89" s="109"/>
      <c r="P89" s="109"/>
      <c r="Q89" s="109" t="n">
        <v>2</v>
      </c>
      <c r="R89" s="110"/>
      <c r="S89" s="110" t="n">
        <v>9</v>
      </c>
      <c r="T89" s="143" t="n">
        <f aca="false">SUM(G89:S89)</f>
        <v>33</v>
      </c>
      <c r="U89" s="103"/>
      <c r="V89" s="100" t="n">
        <v>4</v>
      </c>
      <c r="W89" s="100" t="n">
        <v>12</v>
      </c>
      <c r="X89" s="100"/>
      <c r="Y89" s="100"/>
      <c r="Z89" s="100"/>
      <c r="AA89" s="100"/>
      <c r="AB89" s="100"/>
      <c r="AC89" s="100"/>
      <c r="AD89" s="100"/>
      <c r="AE89" s="100"/>
      <c r="AF89" s="100"/>
      <c r="AG89" s="96"/>
      <c r="AH89" s="125" t="n">
        <f aca="false">SUM(U89:AG89)</f>
        <v>16</v>
      </c>
      <c r="AI89" s="101"/>
      <c r="AJ89" s="102" t="n">
        <f aca="false">SUM(T89,AH89)</f>
        <v>49</v>
      </c>
      <c r="AK89" s="103"/>
      <c r="AL89" s="100"/>
      <c r="AM89" s="104" t="n">
        <f aca="false">SUM(AJ89:AL89)</f>
        <v>49</v>
      </c>
    </row>
    <row r="90" customFormat="false" ht="15.75" hidden="false" customHeight="false" outlineLevel="0" collapsed="false">
      <c r="A90" s="41"/>
      <c r="B90" s="164"/>
      <c r="C90" s="102" t="s">
        <v>92</v>
      </c>
      <c r="D90" s="124" t="s">
        <v>36</v>
      </c>
      <c r="E90" s="166" t="s">
        <v>68</v>
      </c>
      <c r="F90" s="163" t="n">
        <v>1</v>
      </c>
      <c r="G90" s="103"/>
      <c r="H90" s="100" t="n">
        <v>12</v>
      </c>
      <c r="I90" s="100" t="n">
        <v>10</v>
      </c>
      <c r="J90" s="100"/>
      <c r="K90" s="100"/>
      <c r="L90" s="100"/>
      <c r="M90" s="100"/>
      <c r="N90" s="100"/>
      <c r="O90" s="100"/>
      <c r="P90" s="100"/>
      <c r="Q90" s="100"/>
      <c r="R90" s="101" t="n">
        <v>6</v>
      </c>
      <c r="S90" s="101"/>
      <c r="T90" s="143" t="n">
        <f aca="false">SUM(G90:S90)</f>
        <v>28</v>
      </c>
      <c r="U90" s="103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96"/>
      <c r="AH90" s="125"/>
      <c r="AI90" s="101"/>
      <c r="AJ90" s="102" t="n">
        <f aca="false">SUM(T90,AH90)</f>
        <v>28</v>
      </c>
      <c r="AK90" s="103"/>
      <c r="AL90" s="100"/>
      <c r="AM90" s="104" t="n">
        <f aca="false">SUM(AJ90:AL90)</f>
        <v>28</v>
      </c>
    </row>
    <row r="91" customFormat="false" ht="15.75" hidden="false" customHeight="false" outlineLevel="0" collapsed="false">
      <c r="A91" s="41"/>
      <c r="B91" s="42"/>
      <c r="C91" s="102" t="s">
        <v>86</v>
      </c>
      <c r="D91" s="138" t="n">
        <v>2</v>
      </c>
      <c r="E91" s="160" t="s">
        <v>59</v>
      </c>
      <c r="F91" s="161" t="n">
        <v>1</v>
      </c>
      <c r="G91" s="100"/>
      <c r="H91" s="100"/>
      <c r="I91" s="100"/>
      <c r="J91" s="100"/>
      <c r="K91" s="100"/>
      <c r="L91" s="100"/>
      <c r="M91" s="100"/>
      <c r="N91" s="100"/>
      <c r="O91" s="100" t="n">
        <v>26</v>
      </c>
      <c r="P91" s="100"/>
      <c r="Q91" s="100"/>
      <c r="R91" s="101"/>
      <c r="S91" s="101"/>
      <c r="T91" s="143" t="n">
        <f aca="false">SUM(G91:S91)</f>
        <v>26</v>
      </c>
      <c r="U91" s="103"/>
      <c r="V91" s="100"/>
      <c r="W91" s="100"/>
      <c r="X91" s="100"/>
      <c r="Y91" s="100"/>
      <c r="Z91" s="100"/>
      <c r="AA91" s="100"/>
      <c r="AB91" s="100"/>
      <c r="AC91" s="100" t="n">
        <v>30</v>
      </c>
      <c r="AD91" s="100"/>
      <c r="AE91" s="100"/>
      <c r="AF91" s="100"/>
      <c r="AG91" s="96"/>
      <c r="AH91" s="125" t="n">
        <f aca="false">SUM(U91:AG91)</f>
        <v>30</v>
      </c>
      <c r="AI91" s="101"/>
      <c r="AJ91" s="102" t="n">
        <f aca="false">SUM(T91,AH91)</f>
        <v>56</v>
      </c>
      <c r="AK91" s="103"/>
      <c r="AL91" s="100"/>
      <c r="AM91" s="104" t="n">
        <f aca="false">SUM(AJ91:AL91)</f>
        <v>56</v>
      </c>
    </row>
    <row r="92" customFormat="false" ht="15.75" hidden="false" customHeight="false" outlineLevel="0" collapsed="false">
      <c r="A92" s="41"/>
      <c r="B92" s="42"/>
      <c r="C92" s="102" t="s">
        <v>86</v>
      </c>
      <c r="D92" s="138" t="n">
        <v>3</v>
      </c>
      <c r="E92" s="160" t="s">
        <v>59</v>
      </c>
      <c r="F92" s="161" t="n">
        <v>1</v>
      </c>
      <c r="G92" s="100"/>
      <c r="H92" s="100"/>
      <c r="I92" s="100"/>
      <c r="J92" s="100"/>
      <c r="K92" s="100"/>
      <c r="L92" s="100"/>
      <c r="M92" s="100"/>
      <c r="N92" s="100"/>
      <c r="O92" s="100" t="n">
        <v>6</v>
      </c>
      <c r="P92" s="100"/>
      <c r="Q92" s="100"/>
      <c r="R92" s="101"/>
      <c r="S92" s="101"/>
      <c r="T92" s="143" t="n">
        <f aca="false">SUM(G92:S92)</f>
        <v>6</v>
      </c>
      <c r="U92" s="103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96"/>
      <c r="AH92" s="125"/>
      <c r="AI92" s="101"/>
      <c r="AJ92" s="102" t="n">
        <f aca="false">SUM(T92,AH92)</f>
        <v>6</v>
      </c>
      <c r="AK92" s="103"/>
      <c r="AL92" s="100"/>
      <c r="AM92" s="104" t="n">
        <f aca="false">SUM(AJ92:AL92)</f>
        <v>6</v>
      </c>
    </row>
    <row r="93" customFormat="false" ht="15.75" hidden="false" customHeight="false" outlineLevel="0" collapsed="false">
      <c r="A93" s="41"/>
      <c r="B93" s="42"/>
      <c r="C93" s="102" t="s">
        <v>86</v>
      </c>
      <c r="D93" s="138" t="n">
        <v>4</v>
      </c>
      <c r="E93" s="160" t="s">
        <v>59</v>
      </c>
      <c r="F93" s="161" t="n">
        <v>1</v>
      </c>
      <c r="G93" s="100"/>
      <c r="H93" s="100"/>
      <c r="I93" s="100"/>
      <c r="J93" s="100"/>
      <c r="K93" s="100"/>
      <c r="L93" s="100"/>
      <c r="M93" s="100"/>
      <c r="N93" s="100"/>
      <c r="O93" s="100" t="n">
        <v>2</v>
      </c>
      <c r="P93" s="100"/>
      <c r="Q93" s="100"/>
      <c r="R93" s="101"/>
      <c r="S93" s="101"/>
      <c r="T93" s="143" t="n">
        <f aca="false">SUM(G93:S93)</f>
        <v>2</v>
      </c>
      <c r="U93" s="103"/>
      <c r="V93" s="100"/>
      <c r="W93" s="100"/>
      <c r="X93" s="100"/>
      <c r="Y93" s="100"/>
      <c r="Z93" s="100"/>
      <c r="AA93" s="100"/>
      <c r="AB93" s="100"/>
      <c r="AC93" s="100" t="n">
        <v>6</v>
      </c>
      <c r="AD93" s="100"/>
      <c r="AE93" s="100"/>
      <c r="AF93" s="100"/>
      <c r="AG93" s="96"/>
      <c r="AH93" s="125" t="n">
        <f aca="false">SUM(U93:AG93)</f>
        <v>6</v>
      </c>
      <c r="AI93" s="101"/>
      <c r="AJ93" s="102" t="n">
        <f aca="false">SUM(T93,AH93)</f>
        <v>8</v>
      </c>
      <c r="AK93" s="103"/>
      <c r="AL93" s="100"/>
      <c r="AM93" s="104" t="n">
        <f aca="false">SUM(AJ93:AL93)</f>
        <v>8</v>
      </c>
    </row>
    <row r="94" customFormat="false" ht="15.75" hidden="false" customHeight="false" outlineLevel="0" collapsed="false">
      <c r="A94" s="41"/>
      <c r="B94" s="42"/>
      <c r="C94" s="102" t="s">
        <v>86</v>
      </c>
      <c r="D94" s="138" t="n">
        <v>5</v>
      </c>
      <c r="E94" s="160" t="s">
        <v>59</v>
      </c>
      <c r="F94" s="161" t="n">
        <v>1</v>
      </c>
      <c r="G94" s="100"/>
      <c r="H94" s="100"/>
      <c r="I94" s="100"/>
      <c r="J94" s="100"/>
      <c r="K94" s="100"/>
      <c r="L94" s="100"/>
      <c r="M94" s="100"/>
      <c r="N94" s="100"/>
      <c r="O94" s="100" t="n">
        <v>16</v>
      </c>
      <c r="P94" s="100"/>
      <c r="Q94" s="100"/>
      <c r="R94" s="101"/>
      <c r="S94" s="101"/>
      <c r="T94" s="143" t="n">
        <f aca="false">SUM(G94:S94)</f>
        <v>16</v>
      </c>
      <c r="U94" s="103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96"/>
      <c r="AH94" s="125"/>
      <c r="AI94" s="101"/>
      <c r="AJ94" s="102" t="n">
        <f aca="false">SUM(T94,AH94)</f>
        <v>16</v>
      </c>
      <c r="AK94" s="103"/>
      <c r="AL94" s="100"/>
      <c r="AM94" s="104" t="n">
        <f aca="false">SUM(AJ94:AL94)</f>
        <v>16</v>
      </c>
    </row>
    <row r="95" customFormat="false" ht="15.75" hidden="false" customHeight="false" outlineLevel="0" collapsed="false">
      <c r="A95" s="41"/>
      <c r="B95" s="164"/>
      <c r="C95" s="102" t="s">
        <v>86</v>
      </c>
      <c r="D95" s="149" t="s">
        <v>39</v>
      </c>
      <c r="E95" s="167" t="s">
        <v>59</v>
      </c>
      <c r="F95" s="168" t="n">
        <v>1</v>
      </c>
      <c r="G95" s="103"/>
      <c r="H95" s="100"/>
      <c r="I95" s="100"/>
      <c r="J95" s="100"/>
      <c r="K95" s="100"/>
      <c r="L95" s="100"/>
      <c r="M95" s="100"/>
      <c r="N95" s="100"/>
      <c r="O95" s="100" t="n">
        <v>10</v>
      </c>
      <c r="P95" s="100"/>
      <c r="Q95" s="100"/>
      <c r="R95" s="101"/>
      <c r="S95" s="101"/>
      <c r="T95" s="143" t="n">
        <f aca="false">SUM(G95:S95)</f>
        <v>10</v>
      </c>
      <c r="U95" s="103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96"/>
      <c r="AH95" s="125"/>
      <c r="AI95" s="101"/>
      <c r="AJ95" s="102" t="n">
        <f aca="false">SUM(T95,AH95)</f>
        <v>10</v>
      </c>
      <c r="AK95" s="103"/>
      <c r="AL95" s="100"/>
      <c r="AM95" s="104" t="n">
        <f aca="false">SUM(AJ95:AL95)</f>
        <v>10</v>
      </c>
    </row>
    <row r="96" customFormat="false" ht="15.75" hidden="false" customHeight="false" outlineLevel="0" collapsed="false">
      <c r="A96" s="41"/>
      <c r="B96" s="164"/>
      <c r="C96" s="102" t="s">
        <v>86</v>
      </c>
      <c r="D96" s="149" t="s">
        <v>39</v>
      </c>
      <c r="E96" s="167" t="s">
        <v>34</v>
      </c>
      <c r="F96" s="168" t="n">
        <v>1</v>
      </c>
      <c r="G96" s="103"/>
      <c r="H96" s="100"/>
      <c r="I96" s="100"/>
      <c r="J96" s="100"/>
      <c r="K96" s="100"/>
      <c r="L96" s="100"/>
      <c r="M96" s="100"/>
      <c r="N96" s="100"/>
      <c r="O96" s="100" t="n">
        <v>4</v>
      </c>
      <c r="P96" s="100"/>
      <c r="Q96" s="100"/>
      <c r="R96" s="101"/>
      <c r="S96" s="101"/>
      <c r="T96" s="143" t="n">
        <f aca="false">SUM(G96:S96)</f>
        <v>4</v>
      </c>
      <c r="U96" s="103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96"/>
      <c r="AH96" s="125"/>
      <c r="AI96" s="101"/>
      <c r="AJ96" s="102" t="n">
        <f aca="false">SUM(T96,AH96)</f>
        <v>4</v>
      </c>
      <c r="AK96" s="103"/>
      <c r="AL96" s="100"/>
      <c r="AM96" s="104" t="n">
        <f aca="false">SUM(AJ96:AL96)</f>
        <v>4</v>
      </c>
    </row>
    <row r="97" customFormat="false" ht="15.75" hidden="false" customHeight="false" outlineLevel="0" collapsed="false">
      <c r="A97" s="41"/>
      <c r="B97" s="42"/>
      <c r="C97" s="102" t="s">
        <v>27</v>
      </c>
      <c r="D97" s="149" t="n">
        <v>2</v>
      </c>
      <c r="E97" s="167" t="s">
        <v>59</v>
      </c>
      <c r="F97" s="168" t="n">
        <v>1</v>
      </c>
      <c r="G97" s="100"/>
      <c r="H97" s="100"/>
      <c r="I97" s="100"/>
      <c r="J97" s="100"/>
      <c r="K97" s="100"/>
      <c r="L97" s="100"/>
      <c r="M97" s="100"/>
      <c r="N97" s="100"/>
      <c r="O97" s="100"/>
      <c r="P97" s="100" t="n">
        <v>15</v>
      </c>
      <c r="Q97" s="100"/>
      <c r="R97" s="101"/>
      <c r="S97" s="101"/>
      <c r="T97" s="143" t="n">
        <f aca="false">SUM(G97:S97)</f>
        <v>15</v>
      </c>
      <c r="U97" s="103"/>
      <c r="V97" s="100"/>
      <c r="W97" s="100"/>
      <c r="X97" s="100"/>
      <c r="Y97" s="100"/>
      <c r="Z97" s="100"/>
      <c r="AA97" s="100"/>
      <c r="AB97" s="100"/>
      <c r="AC97" s="100"/>
      <c r="AD97" s="100" t="n">
        <v>15</v>
      </c>
      <c r="AE97" s="100"/>
      <c r="AF97" s="100"/>
      <c r="AG97" s="96"/>
      <c r="AH97" s="125" t="n">
        <f aca="false">SUM(U97:AG97)</f>
        <v>15</v>
      </c>
      <c r="AI97" s="101"/>
      <c r="AJ97" s="102" t="n">
        <f aca="false">SUM(T97,AH97)</f>
        <v>30</v>
      </c>
      <c r="AK97" s="103"/>
      <c r="AL97" s="100"/>
      <c r="AM97" s="104" t="n">
        <f aca="false">SUM(AJ97:AL97)</f>
        <v>30</v>
      </c>
    </row>
    <row r="98" customFormat="false" ht="15.75" hidden="false" customHeight="false" outlineLevel="0" collapsed="false">
      <c r="A98" s="41"/>
      <c r="B98" s="42"/>
      <c r="C98" s="102" t="s">
        <v>27</v>
      </c>
      <c r="D98" s="149" t="n">
        <v>3</v>
      </c>
      <c r="E98" s="167" t="s">
        <v>59</v>
      </c>
      <c r="F98" s="168" t="n">
        <v>1</v>
      </c>
      <c r="G98" s="100"/>
      <c r="H98" s="100"/>
      <c r="I98" s="100"/>
      <c r="J98" s="100"/>
      <c r="K98" s="100"/>
      <c r="L98" s="100"/>
      <c r="M98" s="100"/>
      <c r="N98" s="100"/>
      <c r="O98" s="100"/>
      <c r="P98" s="100" t="n">
        <v>2</v>
      </c>
      <c r="Q98" s="100"/>
      <c r="R98" s="101"/>
      <c r="S98" s="101"/>
      <c r="T98" s="143" t="n">
        <f aca="false">SUM(G98:S98)</f>
        <v>2</v>
      </c>
      <c r="U98" s="103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96"/>
      <c r="AH98" s="125"/>
      <c r="AI98" s="101"/>
      <c r="AJ98" s="102" t="n">
        <f aca="false">SUM(T98,AH98)</f>
        <v>2</v>
      </c>
      <c r="AK98" s="103"/>
      <c r="AL98" s="100"/>
      <c r="AM98" s="104" t="n">
        <f aca="false">SUM(AJ98:AL98)</f>
        <v>2</v>
      </c>
    </row>
    <row r="99" customFormat="false" ht="15.75" hidden="false" customHeight="false" outlineLevel="0" collapsed="false">
      <c r="A99" s="41"/>
      <c r="B99" s="42"/>
      <c r="C99" s="102" t="s">
        <v>27</v>
      </c>
      <c r="D99" s="149" t="n">
        <v>4</v>
      </c>
      <c r="E99" s="167" t="s">
        <v>59</v>
      </c>
      <c r="F99" s="168" t="n">
        <v>1</v>
      </c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1"/>
      <c r="S99" s="101"/>
      <c r="T99" s="143"/>
      <c r="U99" s="103"/>
      <c r="V99" s="100"/>
      <c r="W99" s="100"/>
      <c r="X99" s="100"/>
      <c r="Y99" s="100"/>
      <c r="Z99" s="100"/>
      <c r="AA99" s="100"/>
      <c r="AB99" s="100"/>
      <c r="AC99" s="100"/>
      <c r="AD99" s="100" t="n">
        <v>3</v>
      </c>
      <c r="AE99" s="100"/>
      <c r="AF99" s="100"/>
      <c r="AG99" s="96"/>
      <c r="AH99" s="125" t="n">
        <f aca="false">SUM(U99:AG99)</f>
        <v>3</v>
      </c>
      <c r="AI99" s="101"/>
      <c r="AJ99" s="102" t="n">
        <f aca="false">SUM(T99,AH99)</f>
        <v>3</v>
      </c>
      <c r="AK99" s="103"/>
      <c r="AL99" s="100"/>
      <c r="AM99" s="104" t="n">
        <f aca="false">SUM(AJ99:AL99)</f>
        <v>3</v>
      </c>
    </row>
    <row r="100" customFormat="false" ht="15.75" hidden="false" customHeight="false" outlineLevel="0" collapsed="false">
      <c r="A100" s="41"/>
      <c r="B100" s="164"/>
      <c r="C100" s="102" t="s">
        <v>27</v>
      </c>
      <c r="D100" s="149" t="s">
        <v>39</v>
      </c>
      <c r="E100" s="167" t="s">
        <v>59</v>
      </c>
      <c r="F100" s="168" t="n">
        <v>1</v>
      </c>
      <c r="G100" s="103"/>
      <c r="H100" s="100"/>
      <c r="I100" s="100"/>
      <c r="J100" s="100"/>
      <c r="K100" s="100"/>
      <c r="L100" s="100"/>
      <c r="M100" s="100"/>
      <c r="N100" s="100"/>
      <c r="O100" s="100"/>
      <c r="P100" s="100" t="n">
        <v>12</v>
      </c>
      <c r="Q100" s="100"/>
      <c r="R100" s="101"/>
      <c r="S100" s="101"/>
      <c r="T100" s="143" t="n">
        <f aca="false">SUM(G100:S100)</f>
        <v>12</v>
      </c>
      <c r="U100" s="103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96"/>
      <c r="AH100" s="125"/>
      <c r="AI100" s="101"/>
      <c r="AJ100" s="102" t="n">
        <f aca="false">SUM(T100,AH100)</f>
        <v>12</v>
      </c>
      <c r="AK100" s="103"/>
      <c r="AL100" s="100"/>
      <c r="AM100" s="104" t="n">
        <f aca="false">SUM(AJ100:AL100)</f>
        <v>12</v>
      </c>
    </row>
    <row r="101" customFormat="false" ht="15.75" hidden="false" customHeight="false" outlineLevel="0" collapsed="false">
      <c r="A101" s="41"/>
      <c r="B101" s="164"/>
      <c r="C101" s="102" t="s">
        <v>27</v>
      </c>
      <c r="D101" s="149" t="s">
        <v>39</v>
      </c>
      <c r="E101" s="167" t="s">
        <v>34</v>
      </c>
      <c r="F101" s="168" t="n">
        <v>1</v>
      </c>
      <c r="G101" s="103"/>
      <c r="H101" s="100"/>
      <c r="I101" s="100"/>
      <c r="J101" s="100"/>
      <c r="K101" s="100"/>
      <c r="L101" s="100"/>
      <c r="M101" s="100"/>
      <c r="N101" s="100"/>
      <c r="O101" s="100"/>
      <c r="P101" s="100" t="n">
        <v>2</v>
      </c>
      <c r="Q101" s="100"/>
      <c r="R101" s="101"/>
      <c r="S101" s="101"/>
      <c r="T101" s="143" t="n">
        <f aca="false">SUM(G101:S101)</f>
        <v>2</v>
      </c>
      <c r="U101" s="103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96"/>
      <c r="AH101" s="125"/>
      <c r="AI101" s="101"/>
      <c r="AJ101" s="102" t="n">
        <f aca="false">SUM(T101,AH101)</f>
        <v>2</v>
      </c>
      <c r="AK101" s="103"/>
      <c r="AL101" s="100"/>
      <c r="AM101" s="104" t="n">
        <f aca="false">SUM(AJ101:AL101)</f>
        <v>2</v>
      </c>
    </row>
    <row r="102" customFormat="false" ht="16.5" hidden="false" customHeight="false" outlineLevel="0" collapsed="false">
      <c r="A102" s="41"/>
      <c r="B102" s="164"/>
      <c r="C102" s="128" t="s">
        <v>93</v>
      </c>
      <c r="D102" s="149" t="n">
        <v>2</v>
      </c>
      <c r="E102" s="167" t="s">
        <v>59</v>
      </c>
      <c r="F102" s="168" t="n">
        <v>1</v>
      </c>
      <c r="G102" s="103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1"/>
      <c r="S102" s="101"/>
      <c r="T102" s="143"/>
      <c r="U102" s="103"/>
      <c r="V102" s="100"/>
      <c r="W102" s="100"/>
      <c r="X102" s="100"/>
      <c r="Y102" s="100"/>
      <c r="Z102" s="100"/>
      <c r="AA102" s="100"/>
      <c r="AB102" s="100"/>
      <c r="AC102" s="100"/>
      <c r="AD102" s="100" t="n">
        <v>3</v>
      </c>
      <c r="AE102" s="100"/>
      <c r="AF102" s="100"/>
      <c r="AG102" s="96"/>
      <c r="AH102" s="125" t="n">
        <f aca="false">SUM(U102:AG102)</f>
        <v>3</v>
      </c>
      <c r="AI102" s="101"/>
      <c r="AJ102" s="102" t="n">
        <f aca="false">SUM(T102,AH102)</f>
        <v>3</v>
      </c>
      <c r="AK102" s="103"/>
      <c r="AL102" s="100" t="n">
        <v>72</v>
      </c>
      <c r="AM102" s="104" t="n">
        <f aca="false">SUM(AJ102:AL102)</f>
        <v>75</v>
      </c>
    </row>
    <row r="103" customFormat="false" ht="21" hidden="false" customHeight="true" outlineLevel="0" collapsed="false">
      <c r="A103" s="63"/>
      <c r="B103" s="116" t="s">
        <v>42</v>
      </c>
      <c r="C103" s="169"/>
      <c r="D103" s="117"/>
      <c r="E103" s="117"/>
      <c r="F103" s="157"/>
      <c r="G103" s="69"/>
      <c r="H103" s="69" t="n">
        <f aca="false">SUM(H80:H102)</f>
        <v>82</v>
      </c>
      <c r="I103" s="69" t="n">
        <f aca="false">SUM(I80:I102)</f>
        <v>48</v>
      </c>
      <c r="J103" s="69" t="n">
        <f aca="false">SUM(J80:J102)</f>
        <v>128</v>
      </c>
      <c r="K103" s="69"/>
      <c r="L103" s="69"/>
      <c r="M103" s="69" t="n">
        <f aca="false">SUM(M80:M102)</f>
        <v>6</v>
      </c>
      <c r="N103" s="69"/>
      <c r="O103" s="69" t="n">
        <f aca="false">SUM(O80:O102)</f>
        <v>64</v>
      </c>
      <c r="P103" s="69" t="n">
        <f aca="false">SUM(P80:P102)</f>
        <v>31</v>
      </c>
      <c r="Q103" s="69" t="n">
        <f aca="false">SUM(Q80:Q102)</f>
        <v>4</v>
      </c>
      <c r="R103" s="69" t="n">
        <f aca="false">SUM(R80:R102)</f>
        <v>30</v>
      </c>
      <c r="S103" s="69" t="n">
        <f aca="false">SUM(S80:S102)</f>
        <v>18</v>
      </c>
      <c r="T103" s="71" t="n">
        <f aca="false">SUM(G103:S103)</f>
        <v>411</v>
      </c>
      <c r="U103" s="69" t="n">
        <f aca="false">SUM(U80:U102)</f>
        <v>6</v>
      </c>
      <c r="V103" s="69" t="n">
        <f aca="false">SUM(V80:V102)</f>
        <v>90</v>
      </c>
      <c r="W103" s="69" t="n">
        <f aca="false">SUM(W80:W102)</f>
        <v>36</v>
      </c>
      <c r="X103" s="69" t="n">
        <f aca="false">SUM(X80:X102)</f>
        <v>74</v>
      </c>
      <c r="Y103" s="69"/>
      <c r="Z103" s="69"/>
      <c r="AA103" s="69"/>
      <c r="AB103" s="69"/>
      <c r="AC103" s="69" t="n">
        <f aca="false">SUM(AC80:AC102)</f>
        <v>36</v>
      </c>
      <c r="AD103" s="69" t="n">
        <f aca="false">SUM(AD80:AD102)</f>
        <v>21</v>
      </c>
      <c r="AE103" s="69"/>
      <c r="AF103" s="69" t="n">
        <f aca="false">SUM(AF80:AF102)</f>
        <v>24</v>
      </c>
      <c r="AG103" s="69" t="n">
        <f aca="false">SUM(AG80:AG102)</f>
        <v>9</v>
      </c>
      <c r="AH103" s="71" t="n">
        <f aca="false">SUM(U103:AG103)</f>
        <v>296</v>
      </c>
      <c r="AI103" s="73"/>
      <c r="AJ103" s="71" t="n">
        <f aca="false">SUM(W103:AI103)</f>
        <v>496</v>
      </c>
      <c r="AK103" s="72"/>
      <c r="AL103" s="71" t="n">
        <f aca="false">SUM(AL80:AL102)</f>
        <v>72</v>
      </c>
      <c r="AM103" s="71" t="n">
        <f aca="false">SUM(AJ103:AL103)</f>
        <v>568</v>
      </c>
    </row>
    <row r="104" customFormat="false" ht="15.75" hidden="false" customHeight="false" outlineLevel="0" collapsed="false">
      <c r="A104" s="41" t="n">
        <v>6</v>
      </c>
      <c r="B104" s="42" t="s">
        <v>87</v>
      </c>
      <c r="C104" s="159" t="s">
        <v>94</v>
      </c>
      <c r="D104" s="138" t="n">
        <v>2</v>
      </c>
      <c r="E104" s="160" t="s">
        <v>59</v>
      </c>
      <c r="F104" s="161" t="n">
        <v>1</v>
      </c>
      <c r="G104" s="103" t="n">
        <v>2</v>
      </c>
      <c r="H104" s="100"/>
      <c r="I104" s="100" t="n">
        <v>2</v>
      </c>
      <c r="J104" s="100"/>
      <c r="K104" s="100"/>
      <c r="L104" s="100"/>
      <c r="M104" s="100"/>
      <c r="N104" s="100" t="n">
        <v>2</v>
      </c>
      <c r="O104" s="100"/>
      <c r="P104" s="100"/>
      <c r="Q104" s="100"/>
      <c r="R104" s="101"/>
      <c r="S104" s="101" t="n">
        <v>9</v>
      </c>
      <c r="T104" s="143" t="n">
        <f aca="false">SUM(G104:S104)</f>
        <v>15</v>
      </c>
      <c r="U104" s="103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96"/>
      <c r="AH104" s="125"/>
      <c r="AI104" s="101"/>
      <c r="AJ104" s="102" t="n">
        <f aca="false">SUM(T104,AH104,AI104)</f>
        <v>15</v>
      </c>
      <c r="AK104" s="103"/>
      <c r="AL104" s="100"/>
      <c r="AM104" s="104" t="n">
        <f aca="false">SUM(AJ104:AL104)</f>
        <v>15</v>
      </c>
    </row>
    <row r="105" customFormat="false" ht="15.75" hidden="false" customHeight="false" outlineLevel="0" collapsed="false">
      <c r="A105" s="41"/>
      <c r="B105" s="42" t="s">
        <v>74</v>
      </c>
      <c r="C105" s="102" t="s">
        <v>95</v>
      </c>
      <c r="D105" s="138" t="n">
        <v>1</v>
      </c>
      <c r="E105" s="160" t="s">
        <v>41</v>
      </c>
      <c r="F105" s="161" t="n">
        <v>1</v>
      </c>
      <c r="G105" s="103"/>
      <c r="H105" s="100" t="n">
        <v>28</v>
      </c>
      <c r="I105" s="100" t="n">
        <v>2</v>
      </c>
      <c r="J105" s="100"/>
      <c r="K105" s="100"/>
      <c r="L105" s="100"/>
      <c r="M105" s="100"/>
      <c r="N105" s="100" t="n">
        <v>2</v>
      </c>
      <c r="O105" s="100"/>
      <c r="P105" s="100"/>
      <c r="Q105" s="100"/>
      <c r="R105" s="101" t="n">
        <v>6</v>
      </c>
      <c r="S105" s="101"/>
      <c r="T105" s="143" t="n">
        <f aca="false">SUM(G105:S105)</f>
        <v>38</v>
      </c>
      <c r="U105" s="103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96"/>
      <c r="AH105" s="125"/>
      <c r="AI105" s="101"/>
      <c r="AJ105" s="102" t="n">
        <f aca="false">SUM(T105,AH105,AI105)</f>
        <v>38</v>
      </c>
      <c r="AK105" s="103"/>
      <c r="AL105" s="100"/>
      <c r="AM105" s="104" t="n">
        <f aca="false">SUM(AJ105:AL105)</f>
        <v>38</v>
      </c>
    </row>
    <row r="106" customFormat="false" ht="15.75" hidden="false" customHeight="false" outlineLevel="0" collapsed="false">
      <c r="A106" s="41"/>
      <c r="B106" s="42" t="s">
        <v>96</v>
      </c>
      <c r="C106" s="102" t="s">
        <v>97</v>
      </c>
      <c r="D106" s="138" t="n">
        <v>1</v>
      </c>
      <c r="E106" s="160" t="s">
        <v>41</v>
      </c>
      <c r="F106" s="161" t="n">
        <v>1</v>
      </c>
      <c r="G106" s="103"/>
      <c r="H106" s="100" t="n">
        <v>14</v>
      </c>
      <c r="I106" s="100"/>
      <c r="J106" s="100"/>
      <c r="K106" s="100"/>
      <c r="L106" s="100"/>
      <c r="M106" s="100"/>
      <c r="N106" s="100"/>
      <c r="O106" s="100"/>
      <c r="P106" s="100"/>
      <c r="Q106" s="100"/>
      <c r="R106" s="101"/>
      <c r="S106" s="101"/>
      <c r="T106" s="143" t="n">
        <f aca="false">SUM(G106:S106)</f>
        <v>14</v>
      </c>
      <c r="U106" s="103"/>
      <c r="V106" s="100" t="n">
        <v>6</v>
      </c>
      <c r="W106" s="100"/>
      <c r="X106" s="100"/>
      <c r="Y106" s="100"/>
      <c r="Z106" s="100"/>
      <c r="AA106" s="100"/>
      <c r="AB106" s="100" t="n">
        <v>2</v>
      </c>
      <c r="AC106" s="100"/>
      <c r="AD106" s="100"/>
      <c r="AE106" s="100"/>
      <c r="AF106" s="100"/>
      <c r="AG106" s="96" t="n">
        <v>9</v>
      </c>
      <c r="AH106" s="125" t="n">
        <f aca="false">SUM(U106:AG106)</f>
        <v>17</v>
      </c>
      <c r="AI106" s="101"/>
      <c r="AJ106" s="102" t="n">
        <f aca="false">SUM(T106,AH106,AI106)</f>
        <v>31</v>
      </c>
      <c r="AK106" s="103"/>
      <c r="AL106" s="100"/>
      <c r="AM106" s="104" t="n">
        <f aca="false">SUM(AJ106:AL106)</f>
        <v>31</v>
      </c>
    </row>
    <row r="107" customFormat="false" ht="15.75" hidden="false" customHeight="false" outlineLevel="0" collapsed="false">
      <c r="A107" s="41"/>
      <c r="B107" s="41"/>
      <c r="C107" s="102" t="s">
        <v>98</v>
      </c>
      <c r="D107" s="138" t="n">
        <v>1</v>
      </c>
      <c r="E107" s="160" t="s">
        <v>41</v>
      </c>
      <c r="F107" s="161" t="n">
        <v>1</v>
      </c>
      <c r="G107" s="103"/>
      <c r="H107" s="100" t="n">
        <v>8</v>
      </c>
      <c r="I107" s="100"/>
      <c r="J107" s="100"/>
      <c r="K107" s="100"/>
      <c r="L107" s="100"/>
      <c r="M107" s="100"/>
      <c r="N107" s="100" t="n">
        <v>2</v>
      </c>
      <c r="O107" s="100"/>
      <c r="P107" s="100"/>
      <c r="Q107" s="100"/>
      <c r="R107" s="101"/>
      <c r="S107" s="101"/>
      <c r="T107" s="143" t="n">
        <f aca="false">SUM(G107:S107)</f>
        <v>10</v>
      </c>
      <c r="U107" s="103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96"/>
      <c r="AH107" s="125"/>
      <c r="AI107" s="101"/>
      <c r="AJ107" s="102" t="n">
        <f aca="false">SUM(T107,AH107,AI107)</f>
        <v>10</v>
      </c>
      <c r="AK107" s="103"/>
      <c r="AL107" s="100"/>
      <c r="AM107" s="104" t="n">
        <f aca="false">SUM(AJ107:AL107)</f>
        <v>10</v>
      </c>
    </row>
    <row r="108" customFormat="false" ht="15.75" hidden="false" customHeight="false" outlineLevel="0" collapsed="false">
      <c r="A108" s="41"/>
      <c r="B108" s="41"/>
      <c r="C108" s="102" t="s">
        <v>99</v>
      </c>
      <c r="D108" s="138" t="n">
        <v>1</v>
      </c>
      <c r="E108" s="160" t="s">
        <v>41</v>
      </c>
      <c r="F108" s="161" t="n">
        <v>1</v>
      </c>
      <c r="G108" s="103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1"/>
      <c r="S108" s="101"/>
      <c r="T108" s="143"/>
      <c r="U108" s="103" t="n">
        <v>2</v>
      </c>
      <c r="V108" s="100" t="n">
        <v>4</v>
      </c>
      <c r="W108" s="100"/>
      <c r="X108" s="100"/>
      <c r="Y108" s="100"/>
      <c r="Z108" s="100"/>
      <c r="AA108" s="100"/>
      <c r="AB108" s="100" t="n">
        <v>2</v>
      </c>
      <c r="AC108" s="100"/>
      <c r="AD108" s="100"/>
      <c r="AE108" s="100"/>
      <c r="AF108" s="100"/>
      <c r="AG108" s="96"/>
      <c r="AH108" s="125" t="n">
        <f aca="false">SUM(U108:AG108)</f>
        <v>8</v>
      </c>
      <c r="AI108" s="101"/>
      <c r="AJ108" s="102" t="n">
        <f aca="false">SUM(T108,AH108,AI108)</f>
        <v>8</v>
      </c>
      <c r="AK108" s="103"/>
      <c r="AL108" s="100"/>
      <c r="AM108" s="104" t="n">
        <f aca="false">SUM(AJ108:AL108)</f>
        <v>8</v>
      </c>
    </row>
    <row r="109" customFormat="false" ht="15.75" hidden="false" customHeight="false" outlineLevel="0" collapsed="false">
      <c r="A109" s="41"/>
      <c r="B109" s="41"/>
      <c r="C109" s="102" t="s">
        <v>94</v>
      </c>
      <c r="D109" s="138" t="n">
        <v>1</v>
      </c>
      <c r="E109" s="160" t="s">
        <v>41</v>
      </c>
      <c r="F109" s="161" t="n">
        <v>1</v>
      </c>
      <c r="G109" s="103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1"/>
      <c r="S109" s="101"/>
      <c r="T109" s="143"/>
      <c r="U109" s="103" t="n">
        <v>2</v>
      </c>
      <c r="V109" s="100" t="n">
        <v>4</v>
      </c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 t="n">
        <v>6</v>
      </c>
      <c r="AG109" s="96"/>
      <c r="AH109" s="125" t="n">
        <f aca="false">SUM(U109:AG109)</f>
        <v>12</v>
      </c>
      <c r="AI109" s="101"/>
      <c r="AJ109" s="102" t="n">
        <f aca="false">SUM(T109,AH109,AI109)</f>
        <v>12</v>
      </c>
      <c r="AK109" s="103"/>
      <c r="AL109" s="100"/>
      <c r="AM109" s="104" t="n">
        <f aca="false">SUM(AJ109:AL109)</f>
        <v>12</v>
      </c>
    </row>
    <row r="110" customFormat="false" ht="15.75" hidden="false" customHeight="false" outlineLevel="0" collapsed="false">
      <c r="A110" s="41"/>
      <c r="B110" s="41"/>
      <c r="C110" s="102" t="s">
        <v>100</v>
      </c>
      <c r="D110" s="138" t="n">
        <v>1</v>
      </c>
      <c r="E110" s="160" t="s">
        <v>41</v>
      </c>
      <c r="F110" s="161" t="n">
        <v>1</v>
      </c>
      <c r="G110" s="103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1"/>
      <c r="S110" s="101"/>
      <c r="T110" s="143"/>
      <c r="U110" s="103"/>
      <c r="V110" s="100" t="n">
        <v>8</v>
      </c>
      <c r="W110" s="100"/>
      <c r="X110" s="100"/>
      <c r="Y110" s="100"/>
      <c r="Z110" s="100"/>
      <c r="AA110" s="100"/>
      <c r="AB110" s="100" t="n">
        <v>2</v>
      </c>
      <c r="AC110" s="100"/>
      <c r="AD110" s="100"/>
      <c r="AE110" s="100"/>
      <c r="AF110" s="100"/>
      <c r="AG110" s="96"/>
      <c r="AH110" s="125" t="n">
        <f aca="false">SUM(U110:AG110)</f>
        <v>10</v>
      </c>
      <c r="AI110" s="101"/>
      <c r="AJ110" s="102" t="n">
        <f aca="false">SUM(T110,AH110,AI110)</f>
        <v>10</v>
      </c>
      <c r="AK110" s="103"/>
      <c r="AL110" s="100"/>
      <c r="AM110" s="104" t="n">
        <f aca="false">SUM(AJ110:AL110)</f>
        <v>10</v>
      </c>
    </row>
    <row r="111" customFormat="false" ht="15.75" hidden="false" customHeight="false" outlineLevel="0" collapsed="false">
      <c r="A111" s="41"/>
      <c r="B111" s="42"/>
      <c r="C111" s="102" t="s">
        <v>71</v>
      </c>
      <c r="D111" s="138" t="n">
        <v>2</v>
      </c>
      <c r="E111" s="160" t="s">
        <v>41</v>
      </c>
      <c r="F111" s="161" t="n">
        <v>1</v>
      </c>
      <c r="G111" s="103" t="n">
        <v>2</v>
      </c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1"/>
      <c r="S111" s="101"/>
      <c r="T111" s="143" t="n">
        <f aca="false">SUM(G111:S111)</f>
        <v>2</v>
      </c>
      <c r="U111" s="103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96"/>
      <c r="AH111" s="125"/>
      <c r="AI111" s="101"/>
      <c r="AJ111" s="102" t="n">
        <f aca="false">SUM(T111,AH111,AI111)</f>
        <v>2</v>
      </c>
      <c r="AK111" s="103"/>
      <c r="AL111" s="100"/>
      <c r="AM111" s="104" t="n">
        <f aca="false">SUM(AJ111:AL111)</f>
        <v>2</v>
      </c>
    </row>
    <row r="112" customFormat="false" ht="15.75" hidden="false" customHeight="false" outlineLevel="0" collapsed="false">
      <c r="A112" s="41"/>
      <c r="B112" s="42"/>
      <c r="C112" s="102" t="s">
        <v>94</v>
      </c>
      <c r="D112" s="138" t="s">
        <v>36</v>
      </c>
      <c r="E112" s="160" t="s">
        <v>59</v>
      </c>
      <c r="F112" s="161" t="n">
        <v>1</v>
      </c>
      <c r="G112" s="103" t="n">
        <v>2</v>
      </c>
      <c r="H112" s="100"/>
      <c r="I112" s="100" t="n">
        <v>2</v>
      </c>
      <c r="J112" s="100"/>
      <c r="K112" s="100"/>
      <c r="L112" s="100"/>
      <c r="M112" s="100"/>
      <c r="N112" s="100"/>
      <c r="O112" s="100"/>
      <c r="P112" s="100"/>
      <c r="Q112" s="100"/>
      <c r="R112" s="101" t="n">
        <v>6</v>
      </c>
      <c r="S112" s="101"/>
      <c r="T112" s="143" t="n">
        <f aca="false">SUM(G112:S112)</f>
        <v>10</v>
      </c>
      <c r="U112" s="103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96"/>
      <c r="AH112" s="125"/>
      <c r="AI112" s="101"/>
      <c r="AJ112" s="102" t="n">
        <f aca="false">SUM(T112,AH112,AI112)</f>
        <v>10</v>
      </c>
      <c r="AK112" s="103"/>
      <c r="AL112" s="100"/>
      <c r="AM112" s="104" t="n">
        <f aca="false">SUM(AJ112:AL112)</f>
        <v>10</v>
      </c>
    </row>
    <row r="113" customFormat="false" ht="15.75" hidden="false" customHeight="false" outlineLevel="0" collapsed="false">
      <c r="A113" s="41"/>
      <c r="B113" s="42"/>
      <c r="C113" s="102" t="s">
        <v>100</v>
      </c>
      <c r="D113" s="138" t="s">
        <v>36</v>
      </c>
      <c r="E113" s="160" t="s">
        <v>59</v>
      </c>
      <c r="F113" s="161" t="n">
        <v>1</v>
      </c>
      <c r="G113" s="100"/>
      <c r="H113" s="100" t="n">
        <v>6</v>
      </c>
      <c r="I113" s="100"/>
      <c r="J113" s="100"/>
      <c r="K113" s="100"/>
      <c r="L113" s="100"/>
      <c r="M113" s="100"/>
      <c r="N113" s="100"/>
      <c r="O113" s="100"/>
      <c r="P113" s="100"/>
      <c r="Q113" s="100"/>
      <c r="R113" s="101"/>
      <c r="S113" s="101"/>
      <c r="T113" s="143" t="n">
        <f aca="false">SUM(G113:S113)</f>
        <v>6</v>
      </c>
      <c r="U113" s="103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96"/>
      <c r="AH113" s="125"/>
      <c r="AI113" s="101"/>
      <c r="AJ113" s="102" t="n">
        <f aca="false">SUM(T113,AH113,AI113)</f>
        <v>6</v>
      </c>
      <c r="AK113" s="103"/>
      <c r="AL113" s="100"/>
      <c r="AM113" s="104" t="n">
        <f aca="false">SUM(AJ113:AL113)</f>
        <v>6</v>
      </c>
    </row>
    <row r="114" customFormat="false" ht="15.75" hidden="false" customHeight="false" outlineLevel="0" collapsed="false">
      <c r="A114" s="41"/>
      <c r="B114" s="164"/>
      <c r="C114" s="102" t="s">
        <v>71</v>
      </c>
      <c r="D114" s="149" t="s">
        <v>39</v>
      </c>
      <c r="E114" s="167" t="s">
        <v>41</v>
      </c>
      <c r="F114" s="168" t="n">
        <v>1</v>
      </c>
      <c r="G114" s="103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1"/>
      <c r="S114" s="101" t="n">
        <v>9</v>
      </c>
      <c r="T114" s="143" t="n">
        <f aca="false">SUM(G114:S114)</f>
        <v>9</v>
      </c>
      <c r="U114" s="103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96"/>
      <c r="AH114" s="125"/>
      <c r="AI114" s="101"/>
      <c r="AJ114" s="102" t="n">
        <f aca="false">SUM(T114,AH114,AI114)</f>
        <v>9</v>
      </c>
      <c r="AK114" s="103"/>
      <c r="AL114" s="100"/>
      <c r="AM114" s="104" t="n">
        <f aca="false">SUM(AJ114:AL114)</f>
        <v>9</v>
      </c>
    </row>
    <row r="115" customFormat="false" ht="15.75" hidden="false" customHeight="false" outlineLevel="0" collapsed="false">
      <c r="A115" s="41"/>
      <c r="B115" s="164"/>
      <c r="C115" s="102" t="s">
        <v>101</v>
      </c>
      <c r="D115" s="149" t="s">
        <v>39</v>
      </c>
      <c r="E115" s="167" t="s">
        <v>41</v>
      </c>
      <c r="F115" s="168" t="n">
        <v>1</v>
      </c>
      <c r="G115" s="103" t="n">
        <v>2</v>
      </c>
      <c r="H115" s="100" t="n">
        <v>14</v>
      </c>
      <c r="I115" s="100"/>
      <c r="J115" s="100"/>
      <c r="K115" s="100"/>
      <c r="L115" s="100"/>
      <c r="M115" s="100" t="n">
        <v>2</v>
      </c>
      <c r="N115" s="100"/>
      <c r="O115" s="100"/>
      <c r="P115" s="100"/>
      <c r="Q115" s="100"/>
      <c r="R115" s="101"/>
      <c r="S115" s="101"/>
      <c r="T115" s="143" t="n">
        <f aca="false">SUM(G115:S115)</f>
        <v>18</v>
      </c>
      <c r="U115" s="103"/>
      <c r="V115" s="100" t="n">
        <v>16</v>
      </c>
      <c r="W115" s="100" t="n">
        <v>2</v>
      </c>
      <c r="X115" s="100"/>
      <c r="Y115" s="100"/>
      <c r="Z115" s="100"/>
      <c r="AA115" s="100" t="n">
        <v>6</v>
      </c>
      <c r="AB115" s="100"/>
      <c r="AC115" s="100"/>
      <c r="AD115" s="100"/>
      <c r="AE115" s="100"/>
      <c r="AF115" s="100"/>
      <c r="AG115" s="96"/>
      <c r="AH115" s="125" t="n">
        <f aca="false">SUM(U115:AG115)</f>
        <v>24</v>
      </c>
      <c r="AI115" s="101"/>
      <c r="AJ115" s="102" t="n">
        <f aca="false">SUM(T115,AH115,AI115)</f>
        <v>42</v>
      </c>
      <c r="AK115" s="103"/>
      <c r="AL115" s="100"/>
      <c r="AM115" s="104" t="n">
        <f aca="false">SUM(AJ115:AL115)</f>
        <v>42</v>
      </c>
    </row>
    <row r="116" customFormat="false" ht="15.75" hidden="false" customHeight="false" outlineLevel="0" collapsed="false">
      <c r="A116" s="41"/>
      <c r="B116" s="164"/>
      <c r="C116" s="102" t="s">
        <v>102</v>
      </c>
      <c r="D116" s="149" t="s">
        <v>39</v>
      </c>
      <c r="E116" s="167" t="s">
        <v>41</v>
      </c>
      <c r="F116" s="168" t="n">
        <v>1</v>
      </c>
      <c r="G116" s="103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1"/>
      <c r="S116" s="101"/>
      <c r="T116" s="143"/>
      <c r="U116" s="103" t="n">
        <v>2</v>
      </c>
      <c r="V116" s="100" t="n">
        <v>14</v>
      </c>
      <c r="W116" s="100"/>
      <c r="X116" s="100"/>
      <c r="Y116" s="100"/>
      <c r="Z116" s="100"/>
      <c r="AA116" s="100"/>
      <c r="AB116" s="100"/>
      <c r="AC116" s="100"/>
      <c r="AD116" s="100"/>
      <c r="AE116" s="100" t="n">
        <v>2</v>
      </c>
      <c r="AF116" s="100"/>
      <c r="AG116" s="96" t="n">
        <v>9</v>
      </c>
      <c r="AH116" s="125" t="n">
        <f aca="false">SUM(U116:AG116)</f>
        <v>27</v>
      </c>
      <c r="AI116" s="101"/>
      <c r="AJ116" s="102" t="n">
        <f aca="false">SUM(T116,AH116,AI116)</f>
        <v>27</v>
      </c>
      <c r="AK116" s="103"/>
      <c r="AL116" s="100"/>
      <c r="AM116" s="104" t="n">
        <f aca="false">SUM(AJ116:AL116)</f>
        <v>27</v>
      </c>
    </row>
    <row r="117" customFormat="false" ht="15.75" hidden="false" customHeight="false" outlineLevel="0" collapsed="false">
      <c r="A117" s="41"/>
      <c r="B117" s="164"/>
      <c r="C117" s="102" t="s">
        <v>103</v>
      </c>
      <c r="D117" s="124" t="s">
        <v>33</v>
      </c>
      <c r="E117" s="166" t="s">
        <v>68</v>
      </c>
      <c r="F117" s="163" t="n">
        <v>1</v>
      </c>
      <c r="G117" s="103" t="n">
        <v>2</v>
      </c>
      <c r="H117" s="100" t="n">
        <v>10</v>
      </c>
      <c r="I117" s="100" t="n">
        <v>6</v>
      </c>
      <c r="J117" s="100"/>
      <c r="K117" s="100"/>
      <c r="L117" s="100"/>
      <c r="M117" s="100"/>
      <c r="N117" s="100"/>
      <c r="O117" s="100"/>
      <c r="P117" s="100"/>
      <c r="Q117" s="100"/>
      <c r="R117" s="101"/>
      <c r="S117" s="101"/>
      <c r="T117" s="143" t="n">
        <f aca="false">SUM(G117:S117)</f>
        <v>18</v>
      </c>
      <c r="U117" s="103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96"/>
      <c r="AH117" s="125"/>
      <c r="AI117" s="101"/>
      <c r="AJ117" s="102" t="n">
        <f aca="false">SUM(T117,AH117,AI117)</f>
        <v>18</v>
      </c>
      <c r="AK117" s="103"/>
      <c r="AL117" s="100"/>
      <c r="AM117" s="104" t="n">
        <f aca="false">SUM(AJ117:AL117)</f>
        <v>18</v>
      </c>
    </row>
    <row r="118" customFormat="false" ht="15.75" hidden="false" customHeight="false" outlineLevel="0" collapsed="false">
      <c r="A118" s="41"/>
      <c r="B118" s="164"/>
      <c r="C118" s="102" t="s">
        <v>104</v>
      </c>
      <c r="D118" s="149" t="s">
        <v>36</v>
      </c>
      <c r="E118" s="167" t="s">
        <v>68</v>
      </c>
      <c r="F118" s="168" t="n">
        <v>1</v>
      </c>
      <c r="G118" s="103"/>
      <c r="H118" s="100" t="n">
        <v>6</v>
      </c>
      <c r="I118" s="100"/>
      <c r="J118" s="100"/>
      <c r="K118" s="100"/>
      <c r="L118" s="100"/>
      <c r="M118" s="100"/>
      <c r="N118" s="100"/>
      <c r="O118" s="100"/>
      <c r="P118" s="100"/>
      <c r="Q118" s="100"/>
      <c r="R118" s="101"/>
      <c r="S118" s="101"/>
      <c r="T118" s="143" t="n">
        <f aca="false">SUM(G118:S118)</f>
        <v>6</v>
      </c>
      <c r="U118" s="103"/>
      <c r="V118" s="100" t="n">
        <v>26</v>
      </c>
      <c r="W118" s="100"/>
      <c r="X118" s="100"/>
      <c r="Y118" s="100"/>
      <c r="Z118" s="100"/>
      <c r="AA118" s="100" t="n">
        <v>4</v>
      </c>
      <c r="AB118" s="100"/>
      <c r="AC118" s="100"/>
      <c r="AD118" s="100"/>
      <c r="AE118" s="100"/>
      <c r="AF118" s="100"/>
      <c r="AG118" s="96"/>
      <c r="AH118" s="125" t="n">
        <f aca="false">SUM(U118:AG118)</f>
        <v>30</v>
      </c>
      <c r="AI118" s="101"/>
      <c r="AJ118" s="102" t="n">
        <f aca="false">SUM(T118,AH118,AI118)</f>
        <v>36</v>
      </c>
      <c r="AK118" s="103"/>
      <c r="AL118" s="100"/>
      <c r="AM118" s="104" t="n">
        <f aca="false">SUM(AJ118:AL118)</f>
        <v>36</v>
      </c>
    </row>
    <row r="119" customFormat="false" ht="15.75" hidden="false" customHeight="false" outlineLevel="0" collapsed="false">
      <c r="A119" s="41"/>
      <c r="B119" s="164"/>
      <c r="C119" s="102" t="s">
        <v>103</v>
      </c>
      <c r="D119" s="124" t="s">
        <v>36</v>
      </c>
      <c r="E119" s="166" t="s">
        <v>68</v>
      </c>
      <c r="F119" s="163" t="n">
        <v>1</v>
      </c>
      <c r="G119" s="103" t="n">
        <v>2</v>
      </c>
      <c r="H119" s="100" t="n">
        <v>48</v>
      </c>
      <c r="I119" s="100"/>
      <c r="J119" s="100"/>
      <c r="K119" s="100"/>
      <c r="L119" s="100"/>
      <c r="M119" s="100" t="n">
        <v>4</v>
      </c>
      <c r="N119" s="100"/>
      <c r="O119" s="100"/>
      <c r="P119" s="100"/>
      <c r="Q119" s="100"/>
      <c r="R119" s="101" t="n">
        <v>6</v>
      </c>
      <c r="S119" s="101"/>
      <c r="T119" s="143" t="n">
        <f aca="false">SUM(G119:S119)</f>
        <v>60</v>
      </c>
      <c r="U119" s="103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96"/>
      <c r="AH119" s="125"/>
      <c r="AI119" s="101"/>
      <c r="AJ119" s="102" t="n">
        <f aca="false">SUM(T119,AH119,AI119)</f>
        <v>60</v>
      </c>
      <c r="AK119" s="103"/>
      <c r="AL119" s="100"/>
      <c r="AM119" s="104" t="n">
        <f aca="false">SUM(AJ119:AL119)</f>
        <v>60</v>
      </c>
    </row>
    <row r="120" customFormat="false" ht="15.75" hidden="false" customHeight="false" outlineLevel="0" collapsed="false">
      <c r="A120" s="41"/>
      <c r="B120" s="164"/>
      <c r="C120" s="102" t="s">
        <v>102</v>
      </c>
      <c r="D120" s="149" t="s">
        <v>39</v>
      </c>
      <c r="E120" s="167" t="s">
        <v>68</v>
      </c>
      <c r="F120" s="168" t="n">
        <v>1</v>
      </c>
      <c r="G120" s="103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1"/>
      <c r="S120" s="101"/>
      <c r="T120" s="143"/>
      <c r="U120" s="103" t="n">
        <v>2</v>
      </c>
      <c r="V120" s="100" t="n">
        <v>14</v>
      </c>
      <c r="W120" s="100"/>
      <c r="X120" s="100"/>
      <c r="Y120" s="100"/>
      <c r="Z120" s="100"/>
      <c r="AA120" s="100"/>
      <c r="AB120" s="100"/>
      <c r="AC120" s="100"/>
      <c r="AD120" s="100"/>
      <c r="AE120" s="100" t="n">
        <v>2</v>
      </c>
      <c r="AF120" s="100"/>
      <c r="AG120" s="96" t="n">
        <v>9</v>
      </c>
      <c r="AH120" s="125" t="n">
        <f aca="false">SUM(U120:AG120)</f>
        <v>27</v>
      </c>
      <c r="AI120" s="101"/>
      <c r="AJ120" s="102" t="n">
        <f aca="false">SUM(T120,AH120,AI120)</f>
        <v>27</v>
      </c>
      <c r="AK120" s="103"/>
      <c r="AL120" s="100"/>
      <c r="AM120" s="104" t="n">
        <f aca="false">SUM(AJ120:AL120)</f>
        <v>27</v>
      </c>
    </row>
    <row r="121" customFormat="false" ht="15.75" hidden="false" customHeight="false" outlineLevel="0" collapsed="false">
      <c r="A121" s="41"/>
      <c r="B121" s="164"/>
      <c r="C121" s="102" t="s">
        <v>71</v>
      </c>
      <c r="D121" s="124" t="s">
        <v>39</v>
      </c>
      <c r="E121" s="166" t="s">
        <v>68</v>
      </c>
      <c r="F121" s="163" t="n">
        <v>1</v>
      </c>
      <c r="G121" s="165"/>
      <c r="H121" s="109" t="n">
        <v>18</v>
      </c>
      <c r="I121" s="109"/>
      <c r="J121" s="109"/>
      <c r="K121" s="109"/>
      <c r="L121" s="109"/>
      <c r="M121" s="109"/>
      <c r="N121" s="109"/>
      <c r="O121" s="109"/>
      <c r="P121" s="109"/>
      <c r="Q121" s="109"/>
      <c r="R121" s="110"/>
      <c r="S121" s="110" t="n">
        <v>9</v>
      </c>
      <c r="T121" s="143" t="n">
        <f aca="false">SUM(G121:S121)</f>
        <v>27</v>
      </c>
      <c r="U121" s="103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96"/>
      <c r="AH121" s="125"/>
      <c r="AI121" s="101"/>
      <c r="AJ121" s="102" t="n">
        <f aca="false">SUM(T121,AH121,AI121)</f>
        <v>27</v>
      </c>
      <c r="AK121" s="103"/>
      <c r="AL121" s="100"/>
      <c r="AM121" s="104" t="n">
        <f aca="false">SUM(AJ121:AL121)</f>
        <v>27</v>
      </c>
    </row>
    <row r="122" customFormat="false" ht="15.75" hidden="false" customHeight="false" outlineLevel="0" collapsed="false">
      <c r="A122" s="41"/>
      <c r="B122" s="164"/>
      <c r="C122" s="102" t="s">
        <v>101</v>
      </c>
      <c r="D122" s="149" t="s">
        <v>39</v>
      </c>
      <c r="E122" s="167" t="s">
        <v>68</v>
      </c>
      <c r="F122" s="168" t="n">
        <v>1</v>
      </c>
      <c r="G122" s="103" t="n">
        <v>2</v>
      </c>
      <c r="H122" s="100" t="n">
        <v>14</v>
      </c>
      <c r="I122" s="100"/>
      <c r="J122" s="100"/>
      <c r="K122" s="100"/>
      <c r="L122" s="100"/>
      <c r="M122" s="100" t="n">
        <v>2</v>
      </c>
      <c r="N122" s="100"/>
      <c r="O122" s="100"/>
      <c r="P122" s="100"/>
      <c r="Q122" s="100"/>
      <c r="R122" s="101"/>
      <c r="S122" s="101"/>
      <c r="T122" s="143" t="n">
        <f aca="false">SUM(G122:S122)</f>
        <v>18</v>
      </c>
      <c r="U122" s="103"/>
      <c r="V122" s="100" t="n">
        <v>16</v>
      </c>
      <c r="W122" s="100" t="n">
        <v>2</v>
      </c>
      <c r="X122" s="100"/>
      <c r="Y122" s="100"/>
      <c r="Z122" s="100"/>
      <c r="AA122" s="100" t="n">
        <v>6</v>
      </c>
      <c r="AB122" s="100"/>
      <c r="AC122" s="100"/>
      <c r="AD122" s="100"/>
      <c r="AE122" s="100"/>
      <c r="AF122" s="100"/>
      <c r="AG122" s="96" t="n">
        <v>9</v>
      </c>
      <c r="AH122" s="125" t="n">
        <f aca="false">SUM(U122:AG122)</f>
        <v>33</v>
      </c>
      <c r="AI122" s="101"/>
      <c r="AJ122" s="102" t="n">
        <f aca="false">SUM(T122,AH122,AI122)</f>
        <v>51</v>
      </c>
      <c r="AK122" s="103"/>
      <c r="AL122" s="100"/>
      <c r="AM122" s="104" t="n">
        <f aca="false">SUM(AJ122:AL122)</f>
        <v>51</v>
      </c>
    </row>
    <row r="123" customFormat="false" ht="15.75" hidden="false" customHeight="false" outlineLevel="0" collapsed="false">
      <c r="A123" s="41"/>
      <c r="B123" s="164"/>
      <c r="C123" s="102" t="s">
        <v>105</v>
      </c>
      <c r="D123" s="149" t="s">
        <v>39</v>
      </c>
      <c r="E123" s="167" t="s">
        <v>68</v>
      </c>
      <c r="F123" s="168" t="n">
        <v>1</v>
      </c>
      <c r="G123" s="103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1"/>
      <c r="S123" s="101"/>
      <c r="T123" s="143"/>
      <c r="U123" s="103" t="n">
        <v>2</v>
      </c>
      <c r="V123" s="100" t="n">
        <v>12</v>
      </c>
      <c r="W123" s="100" t="n">
        <v>10</v>
      </c>
      <c r="X123" s="100"/>
      <c r="Y123" s="100"/>
      <c r="Z123" s="100"/>
      <c r="AA123" s="100" t="n">
        <v>2</v>
      </c>
      <c r="AB123" s="100"/>
      <c r="AC123" s="100"/>
      <c r="AD123" s="100"/>
      <c r="AE123" s="100"/>
      <c r="AF123" s="100"/>
      <c r="AG123" s="96"/>
      <c r="AH123" s="125" t="n">
        <f aca="false">SUM(U123:AG123)</f>
        <v>26</v>
      </c>
      <c r="AI123" s="101"/>
      <c r="AJ123" s="102" t="n">
        <f aca="false">SUM(T123,AH123,AI123)</f>
        <v>26</v>
      </c>
      <c r="AK123" s="103"/>
      <c r="AL123" s="100"/>
      <c r="AM123" s="104" t="n">
        <f aca="false">SUM(AJ123:AL123)</f>
        <v>26</v>
      </c>
    </row>
    <row r="124" customFormat="false" ht="15.75" hidden="false" customHeight="false" outlineLevel="0" collapsed="false">
      <c r="A124" s="41"/>
      <c r="B124" s="42"/>
      <c r="C124" s="102" t="s">
        <v>94</v>
      </c>
      <c r="D124" s="149" t="s">
        <v>33</v>
      </c>
      <c r="E124" s="167" t="s">
        <v>34</v>
      </c>
      <c r="F124" s="168" t="n">
        <v>1</v>
      </c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1"/>
      <c r="S124" s="101"/>
      <c r="T124" s="143"/>
      <c r="U124" s="103" t="n">
        <v>2</v>
      </c>
      <c r="V124" s="100" t="n">
        <v>8</v>
      </c>
      <c r="W124" s="100" t="n">
        <v>4</v>
      </c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96"/>
      <c r="AH124" s="125" t="n">
        <f aca="false">SUM(U124:AG124)</f>
        <v>14</v>
      </c>
      <c r="AI124" s="101"/>
      <c r="AJ124" s="102" t="n">
        <f aca="false">SUM(T124,AH124,AI124)</f>
        <v>14</v>
      </c>
      <c r="AK124" s="103"/>
      <c r="AL124" s="100"/>
      <c r="AM124" s="104" t="n">
        <f aca="false">SUM(AJ124:AL124)</f>
        <v>14</v>
      </c>
    </row>
    <row r="125" customFormat="false" ht="15.75" hidden="false" customHeight="false" outlineLevel="0" collapsed="false">
      <c r="A125" s="41"/>
      <c r="B125" s="41"/>
      <c r="C125" s="102" t="s">
        <v>106</v>
      </c>
      <c r="D125" s="149" t="s">
        <v>33</v>
      </c>
      <c r="E125" s="167" t="s">
        <v>34</v>
      </c>
      <c r="F125" s="168" t="n">
        <v>1</v>
      </c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10"/>
      <c r="S125" s="110"/>
      <c r="T125" s="143"/>
      <c r="U125" s="103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 t="n">
        <v>6</v>
      </c>
      <c r="AG125" s="96"/>
      <c r="AH125" s="125" t="n">
        <f aca="false">SUM(U125:AG125)</f>
        <v>6</v>
      </c>
      <c r="AI125" s="101"/>
      <c r="AJ125" s="102" t="n">
        <f aca="false">SUM(T125,AH125,AI125)</f>
        <v>6</v>
      </c>
      <c r="AK125" s="103"/>
      <c r="AL125" s="100"/>
      <c r="AM125" s="104" t="n">
        <f aca="false">SUM(AJ125:AL125)</f>
        <v>6</v>
      </c>
    </row>
    <row r="126" customFormat="false" ht="15.75" hidden="false" customHeight="false" outlineLevel="0" collapsed="false">
      <c r="A126" s="41"/>
      <c r="B126" s="42"/>
      <c r="C126" s="102" t="s">
        <v>107</v>
      </c>
      <c r="D126" s="149" t="s">
        <v>36</v>
      </c>
      <c r="E126" s="167" t="s">
        <v>34</v>
      </c>
      <c r="F126" s="168" t="n">
        <v>1</v>
      </c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1"/>
      <c r="S126" s="101"/>
      <c r="T126" s="143"/>
      <c r="U126" s="103"/>
      <c r="V126" s="100" t="n">
        <v>12</v>
      </c>
      <c r="W126" s="100"/>
      <c r="X126" s="100"/>
      <c r="Y126" s="100"/>
      <c r="Z126" s="100"/>
      <c r="AA126" s="100" t="n">
        <v>2</v>
      </c>
      <c r="AB126" s="100"/>
      <c r="AC126" s="100"/>
      <c r="AD126" s="100"/>
      <c r="AE126" s="100"/>
      <c r="AF126" s="100"/>
      <c r="AG126" s="96"/>
      <c r="AH126" s="125" t="n">
        <f aca="false">SUM(U126:AG126)</f>
        <v>14</v>
      </c>
      <c r="AI126" s="101"/>
      <c r="AJ126" s="102" t="n">
        <f aca="false">SUM(T126,AH126,AI126)</f>
        <v>14</v>
      </c>
      <c r="AK126" s="103"/>
      <c r="AL126" s="100"/>
      <c r="AM126" s="104" t="n">
        <f aca="false">SUM(AJ126:AL126)</f>
        <v>14</v>
      </c>
    </row>
    <row r="127" customFormat="false" ht="15.75" hidden="false" customHeight="false" outlineLevel="0" collapsed="false">
      <c r="A127" s="41"/>
      <c r="B127" s="42"/>
      <c r="C127" s="102" t="s">
        <v>107</v>
      </c>
      <c r="D127" s="138" t="s">
        <v>39</v>
      </c>
      <c r="E127" s="160" t="s">
        <v>34</v>
      </c>
      <c r="F127" s="161" t="n">
        <v>1</v>
      </c>
      <c r="G127" s="100"/>
      <c r="H127" s="100" t="n">
        <v>12</v>
      </c>
      <c r="I127" s="100"/>
      <c r="J127" s="100"/>
      <c r="K127" s="100"/>
      <c r="L127" s="100"/>
      <c r="M127" s="100" t="n">
        <v>2</v>
      </c>
      <c r="N127" s="100"/>
      <c r="O127" s="100"/>
      <c r="P127" s="100"/>
      <c r="Q127" s="100"/>
      <c r="R127" s="101"/>
      <c r="S127" s="101"/>
      <c r="T127" s="143" t="n">
        <f aca="false">SUM(G127:S127)</f>
        <v>14</v>
      </c>
      <c r="U127" s="103"/>
      <c r="V127" s="100" t="n">
        <v>20</v>
      </c>
      <c r="W127" s="100"/>
      <c r="X127" s="100"/>
      <c r="Y127" s="100"/>
      <c r="Z127" s="100"/>
      <c r="AA127" s="100" t="n">
        <v>6</v>
      </c>
      <c r="AB127" s="100"/>
      <c r="AC127" s="100"/>
      <c r="AD127" s="100"/>
      <c r="AE127" s="100"/>
      <c r="AF127" s="100"/>
      <c r="AG127" s="96"/>
      <c r="AH127" s="125" t="n">
        <f aca="false">SUM(U127:AG127)</f>
        <v>26</v>
      </c>
      <c r="AI127" s="101" t="n">
        <v>18</v>
      </c>
      <c r="AJ127" s="102" t="n">
        <f aca="false">SUM(T127,AH127,AI127)</f>
        <v>58</v>
      </c>
      <c r="AK127" s="103"/>
      <c r="AL127" s="100"/>
      <c r="AM127" s="104" t="n">
        <f aca="false">SUM(AJ127:AL127)</f>
        <v>58</v>
      </c>
    </row>
    <row r="128" customFormat="false" ht="15.75" hidden="false" customHeight="false" outlineLevel="0" collapsed="false">
      <c r="A128" s="41"/>
      <c r="B128" s="164"/>
      <c r="C128" s="102" t="s">
        <v>94</v>
      </c>
      <c r="D128" s="124" t="s">
        <v>33</v>
      </c>
      <c r="E128" s="166" t="s">
        <v>84</v>
      </c>
      <c r="F128" s="163" t="n">
        <v>1</v>
      </c>
      <c r="G128" s="165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10"/>
      <c r="S128" s="110"/>
      <c r="T128" s="143"/>
      <c r="U128" s="103"/>
      <c r="V128" s="100" t="n">
        <v>6</v>
      </c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96"/>
      <c r="AH128" s="125" t="n">
        <f aca="false">SUM(U128:AG128)</f>
        <v>6</v>
      </c>
      <c r="AI128" s="101"/>
      <c r="AJ128" s="102" t="n">
        <f aca="false">SUM(T128,AH128,AI128)</f>
        <v>6</v>
      </c>
      <c r="AK128" s="103"/>
      <c r="AL128" s="100"/>
      <c r="AM128" s="104" t="n">
        <f aca="false">SUM(AJ128:AL128)</f>
        <v>6</v>
      </c>
    </row>
    <row r="129" customFormat="false" ht="15.75" hidden="false" customHeight="false" outlineLevel="0" collapsed="false">
      <c r="A129" s="41"/>
      <c r="B129" s="42"/>
      <c r="C129" s="102" t="s">
        <v>86</v>
      </c>
      <c r="D129" s="138" t="n">
        <v>5</v>
      </c>
      <c r="E129" s="160" t="s">
        <v>59</v>
      </c>
      <c r="F129" s="161" t="n">
        <v>1</v>
      </c>
      <c r="G129" s="100"/>
      <c r="H129" s="100"/>
      <c r="I129" s="100"/>
      <c r="J129" s="100"/>
      <c r="K129" s="100"/>
      <c r="L129" s="100"/>
      <c r="M129" s="100"/>
      <c r="N129" s="100"/>
      <c r="O129" s="100" t="n">
        <v>6</v>
      </c>
      <c r="P129" s="100"/>
      <c r="Q129" s="100"/>
      <c r="R129" s="101"/>
      <c r="S129" s="101"/>
      <c r="T129" s="143" t="n">
        <f aca="false">SUM(G129:S129)</f>
        <v>6</v>
      </c>
      <c r="U129" s="103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96"/>
      <c r="AH129" s="125"/>
      <c r="AI129" s="101"/>
      <c r="AJ129" s="102" t="n">
        <f aca="false">SUM(T129,AH129,AI129)</f>
        <v>6</v>
      </c>
      <c r="AK129" s="103"/>
      <c r="AL129" s="100"/>
      <c r="AM129" s="104" t="n">
        <f aca="false">SUM(AJ129:AL129)</f>
        <v>6</v>
      </c>
    </row>
    <row r="130" customFormat="false" ht="15.75" hidden="false" customHeight="false" outlineLevel="0" collapsed="false">
      <c r="A130" s="41"/>
      <c r="B130" s="42"/>
      <c r="C130" s="102" t="s">
        <v>86</v>
      </c>
      <c r="D130" s="138" t="n">
        <v>1</v>
      </c>
      <c r="E130" s="160" t="s">
        <v>41</v>
      </c>
      <c r="F130" s="161" t="n">
        <v>1</v>
      </c>
      <c r="G130" s="100"/>
      <c r="H130" s="100"/>
      <c r="I130" s="100"/>
      <c r="J130" s="100"/>
      <c r="K130" s="100"/>
      <c r="L130" s="100"/>
      <c r="M130" s="100"/>
      <c r="N130" s="100"/>
      <c r="O130" s="100" t="n">
        <v>6</v>
      </c>
      <c r="P130" s="100"/>
      <c r="Q130" s="100"/>
      <c r="R130" s="101"/>
      <c r="S130" s="101"/>
      <c r="T130" s="143" t="n">
        <f aca="false">SUM(G130:S130)</f>
        <v>6</v>
      </c>
      <c r="U130" s="103"/>
      <c r="V130" s="100"/>
      <c r="W130" s="100"/>
      <c r="X130" s="100"/>
      <c r="Y130" s="100"/>
      <c r="Z130" s="100"/>
      <c r="AA130" s="100"/>
      <c r="AB130" s="100"/>
      <c r="AC130" s="100" t="n">
        <v>6</v>
      </c>
      <c r="AD130" s="100"/>
      <c r="AE130" s="100"/>
      <c r="AF130" s="100"/>
      <c r="AG130" s="96"/>
      <c r="AH130" s="125" t="n">
        <f aca="false">SUM(U130:AG130)</f>
        <v>6</v>
      </c>
      <c r="AI130" s="101"/>
      <c r="AJ130" s="102" t="n">
        <f aca="false">SUM(T130,AH130,AI130)</f>
        <v>12</v>
      </c>
      <c r="AK130" s="103"/>
      <c r="AL130" s="100"/>
      <c r="AM130" s="104" t="n">
        <f aca="false">SUM(AJ130:AL130)</f>
        <v>12</v>
      </c>
    </row>
    <row r="131" customFormat="false" ht="15.75" hidden="false" customHeight="false" outlineLevel="0" collapsed="false">
      <c r="A131" s="41"/>
      <c r="B131" s="42"/>
      <c r="C131" s="102" t="s">
        <v>86</v>
      </c>
      <c r="D131" s="138" t="n">
        <v>2</v>
      </c>
      <c r="E131" s="160" t="s">
        <v>41</v>
      </c>
      <c r="F131" s="161" t="n">
        <v>1</v>
      </c>
      <c r="G131" s="103"/>
      <c r="H131" s="100"/>
      <c r="I131" s="100"/>
      <c r="J131" s="100"/>
      <c r="K131" s="100"/>
      <c r="L131" s="100"/>
      <c r="M131" s="100"/>
      <c r="N131" s="100"/>
      <c r="O131" s="100" t="n">
        <v>34</v>
      </c>
      <c r="P131" s="100"/>
      <c r="Q131" s="100"/>
      <c r="R131" s="101"/>
      <c r="S131" s="101"/>
      <c r="T131" s="143" t="n">
        <f aca="false">SUM(G131:S131)</f>
        <v>34</v>
      </c>
      <c r="U131" s="103"/>
      <c r="V131" s="100"/>
      <c r="W131" s="100"/>
      <c r="X131" s="100"/>
      <c r="Y131" s="100"/>
      <c r="Z131" s="100"/>
      <c r="AA131" s="100"/>
      <c r="AB131" s="100"/>
      <c r="AC131" s="100" t="n">
        <v>28</v>
      </c>
      <c r="AD131" s="100"/>
      <c r="AE131" s="100"/>
      <c r="AF131" s="100"/>
      <c r="AG131" s="96"/>
      <c r="AH131" s="125" t="n">
        <f aca="false">SUM(U131:AG131)</f>
        <v>28</v>
      </c>
      <c r="AI131" s="101"/>
      <c r="AJ131" s="102" t="n">
        <f aca="false">SUM(T131,AH131,AI131)</f>
        <v>62</v>
      </c>
      <c r="AK131" s="103"/>
      <c r="AL131" s="100"/>
      <c r="AM131" s="104" t="n">
        <f aca="false">SUM(AJ131:AL131)</f>
        <v>62</v>
      </c>
    </row>
    <row r="132" customFormat="false" ht="15.75" hidden="false" customHeight="false" outlineLevel="0" collapsed="false">
      <c r="A132" s="41"/>
      <c r="B132" s="42"/>
      <c r="C132" s="102" t="s">
        <v>86</v>
      </c>
      <c r="D132" s="138" t="s">
        <v>36</v>
      </c>
      <c r="E132" s="160" t="s">
        <v>59</v>
      </c>
      <c r="F132" s="161" t="n">
        <v>1</v>
      </c>
      <c r="G132" s="100"/>
      <c r="H132" s="100"/>
      <c r="I132" s="100"/>
      <c r="J132" s="100"/>
      <c r="K132" s="100"/>
      <c r="L132" s="100"/>
      <c r="M132" s="100"/>
      <c r="N132" s="100"/>
      <c r="O132" s="100" t="n">
        <v>4</v>
      </c>
      <c r="P132" s="100"/>
      <c r="Q132" s="100"/>
      <c r="R132" s="101"/>
      <c r="S132" s="101"/>
      <c r="T132" s="143" t="n">
        <f aca="false">SUM(G132:S132)</f>
        <v>4</v>
      </c>
      <c r="U132" s="103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96"/>
      <c r="AH132" s="125"/>
      <c r="AI132" s="101"/>
      <c r="AJ132" s="102" t="n">
        <f aca="false">SUM(T132,AH132,AI132)</f>
        <v>4</v>
      </c>
      <c r="AK132" s="103"/>
      <c r="AL132" s="100"/>
      <c r="AM132" s="104" t="n">
        <f aca="false">SUM(AJ132:AL132)</f>
        <v>4</v>
      </c>
    </row>
    <row r="133" customFormat="false" ht="15.75" hidden="false" customHeight="false" outlineLevel="0" collapsed="false">
      <c r="A133" s="41"/>
      <c r="B133" s="164"/>
      <c r="C133" s="102" t="s">
        <v>86</v>
      </c>
      <c r="D133" s="149" t="s">
        <v>39</v>
      </c>
      <c r="E133" s="167" t="s">
        <v>41</v>
      </c>
      <c r="F133" s="168" t="n">
        <v>1</v>
      </c>
      <c r="G133" s="103"/>
      <c r="H133" s="100"/>
      <c r="I133" s="100"/>
      <c r="J133" s="100"/>
      <c r="K133" s="100"/>
      <c r="L133" s="100"/>
      <c r="M133" s="100"/>
      <c r="N133" s="100"/>
      <c r="O133" s="100" t="n">
        <v>24</v>
      </c>
      <c r="P133" s="100"/>
      <c r="Q133" s="100"/>
      <c r="R133" s="101"/>
      <c r="S133" s="101"/>
      <c r="T133" s="143" t="n">
        <f aca="false">SUM(G133:S133)</f>
        <v>24</v>
      </c>
      <c r="U133" s="103"/>
      <c r="V133" s="100"/>
      <c r="W133" s="100"/>
      <c r="X133" s="100"/>
      <c r="Y133" s="100"/>
      <c r="Z133" s="100"/>
      <c r="AA133" s="100"/>
      <c r="AB133" s="100"/>
      <c r="AC133" s="100" t="n">
        <v>6</v>
      </c>
      <c r="AD133" s="100"/>
      <c r="AE133" s="100"/>
      <c r="AF133" s="100"/>
      <c r="AG133" s="96"/>
      <c r="AH133" s="125" t="n">
        <f aca="false">SUM(U133:AG133)</f>
        <v>6</v>
      </c>
      <c r="AI133" s="101"/>
      <c r="AJ133" s="102" t="n">
        <f aca="false">SUM(T133,AH133,AI133)</f>
        <v>30</v>
      </c>
      <c r="AK133" s="103"/>
      <c r="AL133" s="100"/>
      <c r="AM133" s="104" t="n">
        <f aca="false">SUM(AJ133:AL133)</f>
        <v>30</v>
      </c>
    </row>
    <row r="134" customFormat="false" ht="15.75" hidden="false" customHeight="false" outlineLevel="0" collapsed="false">
      <c r="A134" s="41"/>
      <c r="B134" s="164"/>
      <c r="C134" s="102" t="s">
        <v>86</v>
      </c>
      <c r="D134" s="149" t="s">
        <v>39</v>
      </c>
      <c r="E134" s="167" t="s">
        <v>68</v>
      </c>
      <c r="F134" s="168" t="n">
        <v>1</v>
      </c>
      <c r="G134" s="103"/>
      <c r="H134" s="100"/>
      <c r="I134" s="100"/>
      <c r="J134" s="100"/>
      <c r="K134" s="100"/>
      <c r="L134" s="100"/>
      <c r="M134" s="100"/>
      <c r="N134" s="100"/>
      <c r="O134" s="100" t="n">
        <v>38</v>
      </c>
      <c r="P134" s="100"/>
      <c r="Q134" s="100"/>
      <c r="R134" s="101"/>
      <c r="S134" s="101"/>
      <c r="T134" s="143" t="n">
        <f aca="false">SUM(G134:S134)</f>
        <v>38</v>
      </c>
      <c r="U134" s="103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96"/>
      <c r="AH134" s="125"/>
      <c r="AI134" s="101"/>
      <c r="AJ134" s="102" t="n">
        <f aca="false">SUM(T134,AH134,AI134)</f>
        <v>38</v>
      </c>
      <c r="AK134" s="103"/>
      <c r="AL134" s="100"/>
      <c r="AM134" s="104" t="n">
        <f aca="false">SUM(AJ134:AL134)</f>
        <v>38</v>
      </c>
    </row>
    <row r="135" customFormat="false" ht="15.75" hidden="false" customHeight="false" outlineLevel="0" collapsed="false">
      <c r="A135" s="41"/>
      <c r="B135" s="42"/>
      <c r="C135" s="102" t="s">
        <v>86</v>
      </c>
      <c r="D135" s="149" t="s">
        <v>39</v>
      </c>
      <c r="E135" s="167" t="s">
        <v>34</v>
      </c>
      <c r="F135" s="168" t="n">
        <v>1</v>
      </c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1"/>
      <c r="S135" s="101"/>
      <c r="T135" s="143"/>
      <c r="U135" s="103"/>
      <c r="V135" s="100"/>
      <c r="W135" s="100"/>
      <c r="X135" s="100"/>
      <c r="Y135" s="100"/>
      <c r="Z135" s="100"/>
      <c r="AA135" s="100"/>
      <c r="AB135" s="100"/>
      <c r="AC135" s="100" t="n">
        <v>6</v>
      </c>
      <c r="AD135" s="100"/>
      <c r="AE135" s="100"/>
      <c r="AF135" s="100"/>
      <c r="AG135" s="96"/>
      <c r="AH135" s="125" t="n">
        <f aca="false">SUM(U135:AG135)</f>
        <v>6</v>
      </c>
      <c r="AI135" s="101"/>
      <c r="AJ135" s="102" t="n">
        <f aca="false">SUM(T135,AH135,AI135)</f>
        <v>6</v>
      </c>
      <c r="AK135" s="103"/>
      <c r="AL135" s="100"/>
      <c r="AM135" s="104" t="n">
        <f aca="false">SUM(AJ135:AL135)</f>
        <v>6</v>
      </c>
    </row>
    <row r="136" customFormat="false" ht="15.75" hidden="false" customHeight="false" outlineLevel="0" collapsed="false">
      <c r="A136" s="41"/>
      <c r="B136" s="42"/>
      <c r="C136" s="102" t="s">
        <v>27</v>
      </c>
      <c r="D136" s="138" t="n">
        <v>1</v>
      </c>
      <c r="E136" s="160" t="s">
        <v>41</v>
      </c>
      <c r="F136" s="161" t="n">
        <v>1</v>
      </c>
      <c r="G136" s="100"/>
      <c r="H136" s="100"/>
      <c r="I136" s="100"/>
      <c r="J136" s="100"/>
      <c r="K136" s="100"/>
      <c r="L136" s="100"/>
      <c r="M136" s="100"/>
      <c r="N136" s="100"/>
      <c r="O136" s="100"/>
      <c r="P136" s="100" t="n">
        <v>3</v>
      </c>
      <c r="Q136" s="100"/>
      <c r="R136" s="101"/>
      <c r="S136" s="101"/>
      <c r="T136" s="143" t="n">
        <f aca="false">SUM(G136:S136)</f>
        <v>3</v>
      </c>
      <c r="U136" s="103"/>
      <c r="V136" s="100"/>
      <c r="W136" s="100"/>
      <c r="X136" s="100"/>
      <c r="Y136" s="100"/>
      <c r="Z136" s="100"/>
      <c r="AA136" s="100"/>
      <c r="AB136" s="100"/>
      <c r="AC136" s="100"/>
      <c r="AD136" s="100" t="n">
        <v>3</v>
      </c>
      <c r="AE136" s="100"/>
      <c r="AF136" s="100"/>
      <c r="AG136" s="96"/>
      <c r="AH136" s="125" t="n">
        <f aca="false">SUM(U136:AG136)</f>
        <v>3</v>
      </c>
      <c r="AI136" s="101"/>
      <c r="AJ136" s="102" t="n">
        <f aca="false">SUM(T136,AH136,AI136)</f>
        <v>6</v>
      </c>
      <c r="AK136" s="103"/>
      <c r="AL136" s="100"/>
      <c r="AM136" s="104" t="n">
        <f aca="false">SUM(AJ136:AL136)</f>
        <v>6</v>
      </c>
    </row>
    <row r="137" customFormat="false" ht="15.75" hidden="false" customHeight="false" outlineLevel="0" collapsed="false">
      <c r="A137" s="41"/>
      <c r="B137" s="42"/>
      <c r="C137" s="102" t="s">
        <v>27</v>
      </c>
      <c r="D137" s="138" t="n">
        <v>2</v>
      </c>
      <c r="E137" s="160" t="s">
        <v>41</v>
      </c>
      <c r="F137" s="161" t="n">
        <v>1</v>
      </c>
      <c r="G137" s="103"/>
      <c r="H137" s="100"/>
      <c r="I137" s="100"/>
      <c r="J137" s="100"/>
      <c r="K137" s="100"/>
      <c r="L137" s="100"/>
      <c r="M137" s="100"/>
      <c r="N137" s="100"/>
      <c r="O137" s="100"/>
      <c r="P137" s="100" t="n">
        <v>17</v>
      </c>
      <c r="Q137" s="100"/>
      <c r="R137" s="101"/>
      <c r="S137" s="101"/>
      <c r="T137" s="143" t="n">
        <f aca="false">SUM(G137:S137)</f>
        <v>17</v>
      </c>
      <c r="U137" s="103"/>
      <c r="V137" s="100"/>
      <c r="W137" s="100"/>
      <c r="X137" s="100"/>
      <c r="Y137" s="100"/>
      <c r="Z137" s="100"/>
      <c r="AA137" s="100"/>
      <c r="AB137" s="100"/>
      <c r="AC137" s="100"/>
      <c r="AD137" s="100" t="n">
        <v>14</v>
      </c>
      <c r="AE137" s="100"/>
      <c r="AF137" s="100"/>
      <c r="AG137" s="96"/>
      <c r="AH137" s="125" t="n">
        <f aca="false">SUM(U137:AG137)</f>
        <v>14</v>
      </c>
      <c r="AI137" s="101"/>
      <c r="AJ137" s="102" t="n">
        <f aca="false">SUM(T137,AH137,AI137)</f>
        <v>31</v>
      </c>
      <c r="AK137" s="103"/>
      <c r="AL137" s="100"/>
      <c r="AM137" s="104" t="n">
        <f aca="false">SUM(AJ137:AL137)</f>
        <v>31</v>
      </c>
    </row>
    <row r="138" customFormat="false" ht="15.75" hidden="false" customHeight="false" outlineLevel="0" collapsed="false">
      <c r="A138" s="41"/>
      <c r="B138" s="164"/>
      <c r="C138" s="102" t="s">
        <v>27</v>
      </c>
      <c r="D138" s="149" t="s">
        <v>39</v>
      </c>
      <c r="E138" s="167" t="s">
        <v>41</v>
      </c>
      <c r="F138" s="168" t="n">
        <v>1</v>
      </c>
      <c r="G138" s="103"/>
      <c r="H138" s="100"/>
      <c r="I138" s="100"/>
      <c r="J138" s="100"/>
      <c r="K138" s="100"/>
      <c r="L138" s="100"/>
      <c r="M138" s="100"/>
      <c r="N138" s="100"/>
      <c r="O138" s="100"/>
      <c r="P138" s="100" t="n">
        <v>4</v>
      </c>
      <c r="Q138" s="100"/>
      <c r="R138" s="101"/>
      <c r="S138" s="101"/>
      <c r="T138" s="143" t="n">
        <f aca="false">SUM(G138:S138)</f>
        <v>4</v>
      </c>
      <c r="U138" s="103"/>
      <c r="V138" s="100"/>
      <c r="W138" s="100"/>
      <c r="X138" s="100"/>
      <c r="Y138" s="100"/>
      <c r="Z138" s="100"/>
      <c r="AA138" s="100"/>
      <c r="AB138" s="100"/>
      <c r="AC138" s="100"/>
      <c r="AD138" s="100" t="n">
        <v>3</v>
      </c>
      <c r="AE138" s="100"/>
      <c r="AF138" s="100"/>
      <c r="AG138" s="96"/>
      <c r="AH138" s="125" t="n">
        <f aca="false">SUM(U138:AG138)</f>
        <v>3</v>
      </c>
      <c r="AI138" s="101"/>
      <c r="AJ138" s="102" t="n">
        <f aca="false">SUM(T138,AH138,AI138)</f>
        <v>7</v>
      </c>
      <c r="AK138" s="103"/>
      <c r="AL138" s="100"/>
      <c r="AM138" s="104" t="n">
        <f aca="false">SUM(AJ138:AL138)</f>
        <v>7</v>
      </c>
    </row>
    <row r="139" customFormat="false" ht="15.75" hidden="false" customHeight="false" outlineLevel="0" collapsed="false">
      <c r="A139" s="41"/>
      <c r="B139" s="164"/>
      <c r="C139" s="102" t="s">
        <v>27</v>
      </c>
      <c r="D139" s="124" t="s">
        <v>36</v>
      </c>
      <c r="E139" s="166" t="s">
        <v>68</v>
      </c>
      <c r="F139" s="163" t="n">
        <v>1</v>
      </c>
      <c r="G139" s="103"/>
      <c r="H139" s="100"/>
      <c r="I139" s="100"/>
      <c r="J139" s="100"/>
      <c r="K139" s="100"/>
      <c r="L139" s="100"/>
      <c r="M139" s="100"/>
      <c r="N139" s="100"/>
      <c r="O139" s="100"/>
      <c r="P139" s="100" t="n">
        <v>4</v>
      </c>
      <c r="Q139" s="100"/>
      <c r="R139" s="101"/>
      <c r="S139" s="101"/>
      <c r="T139" s="143" t="n">
        <f aca="false">SUM(G139:S139)</f>
        <v>4</v>
      </c>
      <c r="U139" s="103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96"/>
      <c r="AH139" s="125"/>
      <c r="AI139" s="101"/>
      <c r="AJ139" s="102" t="n">
        <f aca="false">SUM(T139,AH139,AI139)</f>
        <v>4</v>
      </c>
      <c r="AK139" s="103"/>
      <c r="AL139" s="100"/>
      <c r="AM139" s="104" t="n">
        <f aca="false">SUM(AJ139:AL139)</f>
        <v>4</v>
      </c>
    </row>
    <row r="140" customFormat="false" ht="15.75" hidden="false" customHeight="false" outlineLevel="0" collapsed="false">
      <c r="A140" s="41"/>
      <c r="B140" s="164"/>
      <c r="C140" s="102" t="s">
        <v>27</v>
      </c>
      <c r="D140" s="149" t="s">
        <v>39</v>
      </c>
      <c r="E140" s="167" t="s">
        <v>68</v>
      </c>
      <c r="F140" s="168" t="n">
        <v>1</v>
      </c>
      <c r="G140" s="165"/>
      <c r="H140" s="109"/>
      <c r="I140" s="109"/>
      <c r="J140" s="109"/>
      <c r="K140" s="109"/>
      <c r="L140" s="109"/>
      <c r="M140" s="109"/>
      <c r="N140" s="109"/>
      <c r="O140" s="109"/>
      <c r="P140" s="109" t="n">
        <v>4</v>
      </c>
      <c r="Q140" s="109"/>
      <c r="R140" s="110"/>
      <c r="S140" s="110"/>
      <c r="T140" s="143" t="n">
        <f aca="false">SUM(G140:S140)</f>
        <v>4</v>
      </c>
      <c r="U140" s="103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96"/>
      <c r="AH140" s="125"/>
      <c r="AI140" s="101"/>
      <c r="AJ140" s="102" t="n">
        <f aca="false">SUM(T140,AH140,AI140)</f>
        <v>4</v>
      </c>
      <c r="AK140" s="103"/>
      <c r="AL140" s="100"/>
      <c r="AM140" s="104" t="n">
        <f aca="false">SUM(AJ140:AL140)</f>
        <v>4</v>
      </c>
    </row>
    <row r="141" customFormat="false" ht="15.75" hidden="false" customHeight="false" outlineLevel="0" collapsed="false">
      <c r="A141" s="41"/>
      <c r="B141" s="42"/>
      <c r="C141" s="102" t="s">
        <v>27</v>
      </c>
      <c r="D141" s="149" t="s">
        <v>39</v>
      </c>
      <c r="E141" s="167" t="s">
        <v>34</v>
      </c>
      <c r="F141" s="168" t="n">
        <v>1</v>
      </c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1"/>
      <c r="S141" s="101"/>
      <c r="T141" s="143"/>
      <c r="U141" s="103"/>
      <c r="V141" s="100"/>
      <c r="W141" s="100"/>
      <c r="X141" s="100"/>
      <c r="Y141" s="100"/>
      <c r="Z141" s="100"/>
      <c r="AA141" s="100"/>
      <c r="AB141" s="100"/>
      <c r="AC141" s="100"/>
      <c r="AD141" s="100" t="n">
        <v>3</v>
      </c>
      <c r="AE141" s="100"/>
      <c r="AF141" s="100"/>
      <c r="AG141" s="96"/>
      <c r="AH141" s="125" t="n">
        <f aca="false">SUM(U141:AG141)</f>
        <v>3</v>
      </c>
      <c r="AI141" s="101"/>
      <c r="AJ141" s="102" t="n">
        <f aca="false">SUM(T141,AH141,AI141)</f>
        <v>3</v>
      </c>
      <c r="AK141" s="103"/>
      <c r="AL141" s="100"/>
      <c r="AM141" s="104" t="n">
        <f aca="false">SUM(AJ141:AL141)</f>
        <v>3</v>
      </c>
    </row>
    <row r="142" customFormat="false" ht="16.5" hidden="false" customHeight="false" outlineLevel="0" collapsed="false">
      <c r="A142" s="41"/>
      <c r="B142" s="164"/>
      <c r="C142" s="128" t="s">
        <v>93</v>
      </c>
      <c r="D142" s="149" t="s">
        <v>39</v>
      </c>
      <c r="E142" s="167" t="s">
        <v>68</v>
      </c>
      <c r="F142" s="168" t="n">
        <v>1</v>
      </c>
      <c r="G142" s="103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1"/>
      <c r="S142" s="101"/>
      <c r="T142" s="143"/>
      <c r="U142" s="103"/>
      <c r="V142" s="100"/>
      <c r="W142" s="100"/>
      <c r="X142" s="100"/>
      <c r="Y142" s="100"/>
      <c r="Z142" s="100"/>
      <c r="AA142" s="100"/>
      <c r="AB142" s="100"/>
      <c r="AC142" s="100"/>
      <c r="AD142" s="100" t="n">
        <v>3</v>
      </c>
      <c r="AE142" s="100"/>
      <c r="AF142" s="100"/>
      <c r="AG142" s="96"/>
      <c r="AH142" s="125" t="n">
        <f aca="false">SUM(U142:AG142)</f>
        <v>3</v>
      </c>
      <c r="AI142" s="101"/>
      <c r="AJ142" s="102" t="n">
        <f aca="false">SUM(T142,AH142,AI142)</f>
        <v>3</v>
      </c>
      <c r="AK142" s="103"/>
      <c r="AL142" s="100" t="n">
        <v>144</v>
      </c>
      <c r="AM142" s="104" t="n">
        <f aca="false">SUM(AJ142:AL142)</f>
        <v>147</v>
      </c>
    </row>
    <row r="143" customFormat="false" ht="21" hidden="false" customHeight="true" outlineLevel="0" collapsed="false">
      <c r="A143" s="63"/>
      <c r="B143" s="116" t="s">
        <v>42</v>
      </c>
      <c r="C143" s="169"/>
      <c r="D143" s="117"/>
      <c r="E143" s="117"/>
      <c r="F143" s="157"/>
      <c r="G143" s="69" t="n">
        <f aca="false">SUM(G104:G142)</f>
        <v>14</v>
      </c>
      <c r="H143" s="69" t="n">
        <f aca="false">SUM(H104:H142)</f>
        <v>178</v>
      </c>
      <c r="I143" s="69" t="n">
        <f aca="false">SUM(I104:I142)</f>
        <v>12</v>
      </c>
      <c r="J143" s="69"/>
      <c r="K143" s="69"/>
      <c r="L143" s="69"/>
      <c r="M143" s="69" t="n">
        <f aca="false">SUM(M104:M142)</f>
        <v>10</v>
      </c>
      <c r="N143" s="69" t="n">
        <f aca="false">SUM(N104:N142)</f>
        <v>6</v>
      </c>
      <c r="O143" s="69" t="n">
        <f aca="false">SUM(O104:O142)</f>
        <v>112</v>
      </c>
      <c r="P143" s="69" t="n">
        <f aca="false">SUM(P104:P142)</f>
        <v>32</v>
      </c>
      <c r="Q143" s="69"/>
      <c r="R143" s="69" t="n">
        <f aca="false">SUM(R104:R142)</f>
        <v>18</v>
      </c>
      <c r="S143" s="69" t="n">
        <f aca="false">SUM(S104:S142)</f>
        <v>27</v>
      </c>
      <c r="T143" s="71" t="n">
        <f aca="false">SUM(G143:S143)</f>
        <v>409</v>
      </c>
      <c r="U143" s="69" t="n">
        <f aca="false">SUM(U104:U142)</f>
        <v>12</v>
      </c>
      <c r="V143" s="69" t="n">
        <f aca="false">SUM(V104:V142)</f>
        <v>166</v>
      </c>
      <c r="W143" s="69" t="n">
        <f aca="false">SUM(W104:W142)</f>
        <v>18</v>
      </c>
      <c r="X143" s="69"/>
      <c r="Y143" s="69"/>
      <c r="Z143" s="69"/>
      <c r="AA143" s="69" t="n">
        <f aca="false">SUM(AA104:AA142)</f>
        <v>26</v>
      </c>
      <c r="AB143" s="69" t="n">
        <f aca="false">SUM(AB104:AB142)</f>
        <v>6</v>
      </c>
      <c r="AC143" s="69" t="n">
        <f aca="false">SUM(AC104:AC142)</f>
        <v>46</v>
      </c>
      <c r="AD143" s="69" t="n">
        <f aca="false">SUM(AD104:AD142)</f>
        <v>26</v>
      </c>
      <c r="AE143" s="69" t="n">
        <f aca="false">SUM(AE104:AE142)</f>
        <v>4</v>
      </c>
      <c r="AF143" s="69" t="n">
        <f aca="false">SUM(AF104:AF142)</f>
        <v>12</v>
      </c>
      <c r="AG143" s="69" t="n">
        <f aca="false">SUM(AG104:AG142)</f>
        <v>36</v>
      </c>
      <c r="AH143" s="71" t="n">
        <f aca="false">SUM(U143:AG143)</f>
        <v>352</v>
      </c>
      <c r="AI143" s="69" t="n">
        <f aca="false">SUM(AI104:AI142)</f>
        <v>18</v>
      </c>
      <c r="AJ143" s="71" t="n">
        <f aca="false">SUM(AJ104:AJ142)</f>
        <v>779</v>
      </c>
      <c r="AK143" s="72"/>
      <c r="AL143" s="71" t="n">
        <f aca="false">SUM(AL104:AL142)</f>
        <v>144</v>
      </c>
      <c r="AM143" s="71" t="n">
        <f aca="false">SUM(AM104:AM142)</f>
        <v>923</v>
      </c>
    </row>
    <row r="144" customFormat="false" ht="15.75" hidden="false" customHeight="false" outlineLevel="0" collapsed="false">
      <c r="A144" s="41" t="n">
        <v>7</v>
      </c>
      <c r="B144" s="42" t="s">
        <v>108</v>
      </c>
      <c r="C144" s="159" t="s">
        <v>109</v>
      </c>
      <c r="D144" s="138" t="n">
        <v>2</v>
      </c>
      <c r="E144" s="160" t="s">
        <v>59</v>
      </c>
      <c r="F144" s="161" t="n">
        <v>1</v>
      </c>
      <c r="G144" s="103"/>
      <c r="H144" s="100" t="n">
        <v>16</v>
      </c>
      <c r="I144" s="100" t="n">
        <v>12</v>
      </c>
      <c r="J144" s="100"/>
      <c r="K144" s="100"/>
      <c r="L144" s="100"/>
      <c r="M144" s="100" t="n">
        <v>2</v>
      </c>
      <c r="N144" s="100"/>
      <c r="O144" s="100"/>
      <c r="P144" s="100"/>
      <c r="Q144" s="100"/>
      <c r="R144" s="101"/>
      <c r="S144" s="101"/>
      <c r="T144" s="143" t="n">
        <f aca="false">SUM(G144:S144)</f>
        <v>30</v>
      </c>
      <c r="U144" s="103" t="n">
        <v>2</v>
      </c>
      <c r="V144" s="100" t="n">
        <v>10</v>
      </c>
      <c r="W144" s="100" t="n">
        <v>12</v>
      </c>
      <c r="X144" s="100"/>
      <c r="Y144" s="100"/>
      <c r="Z144" s="100"/>
      <c r="AA144" s="100"/>
      <c r="AB144" s="100"/>
      <c r="AC144" s="100"/>
      <c r="AD144" s="100"/>
      <c r="AE144" s="100"/>
      <c r="AF144" s="100" t="n">
        <v>6</v>
      </c>
      <c r="AG144" s="96"/>
      <c r="AH144" s="125" t="n">
        <f aca="false">SUM(U144:AG144)</f>
        <v>30</v>
      </c>
      <c r="AI144" s="101"/>
      <c r="AJ144" s="102" t="n">
        <f aca="false">SUM(T144,AH144,AI144)</f>
        <v>60</v>
      </c>
      <c r="AK144" s="103"/>
      <c r="AL144" s="100"/>
      <c r="AM144" s="104" t="n">
        <f aca="false">SUM(AJ144:AL144)</f>
        <v>60</v>
      </c>
    </row>
    <row r="145" customFormat="false" ht="15.75" hidden="false" customHeight="false" outlineLevel="0" collapsed="false">
      <c r="A145" s="41"/>
      <c r="B145" s="42" t="s">
        <v>110</v>
      </c>
      <c r="C145" s="102" t="s">
        <v>103</v>
      </c>
      <c r="D145" s="138" t="n">
        <v>2</v>
      </c>
      <c r="E145" s="160" t="s">
        <v>59</v>
      </c>
      <c r="F145" s="161" t="n">
        <v>1</v>
      </c>
      <c r="G145" s="103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1"/>
      <c r="S145" s="101" t="n">
        <v>9</v>
      </c>
      <c r="T145" s="143" t="n">
        <f aca="false">SUM(G145:S145)</f>
        <v>9</v>
      </c>
      <c r="U145" s="103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96"/>
      <c r="AH145" s="125"/>
      <c r="AI145" s="101"/>
      <c r="AJ145" s="102" t="n">
        <f aca="false">SUM(T145,AH145,AI145)</f>
        <v>9</v>
      </c>
      <c r="AK145" s="103"/>
      <c r="AL145" s="100"/>
      <c r="AM145" s="104" t="n">
        <f aca="false">SUM(AJ145:AL145)</f>
        <v>9</v>
      </c>
    </row>
    <row r="146" customFormat="false" ht="15.75" hidden="false" customHeight="false" outlineLevel="0" collapsed="false">
      <c r="A146" s="41"/>
      <c r="B146" s="42" t="s">
        <v>74</v>
      </c>
      <c r="C146" s="102" t="s">
        <v>111</v>
      </c>
      <c r="D146" s="138" t="n">
        <v>1</v>
      </c>
      <c r="E146" s="160" t="s">
        <v>41</v>
      </c>
      <c r="F146" s="161" t="n">
        <v>1</v>
      </c>
      <c r="G146" s="100"/>
      <c r="H146" s="100"/>
      <c r="I146" s="100" t="n">
        <v>6</v>
      </c>
      <c r="J146" s="100"/>
      <c r="K146" s="100"/>
      <c r="L146" s="100"/>
      <c r="M146" s="100"/>
      <c r="N146" s="100"/>
      <c r="O146" s="100"/>
      <c r="P146" s="100"/>
      <c r="Q146" s="100"/>
      <c r="R146" s="101"/>
      <c r="S146" s="101"/>
      <c r="T146" s="143" t="n">
        <f aca="false">SUM(G146:S146)</f>
        <v>6</v>
      </c>
      <c r="U146" s="103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96"/>
      <c r="AH146" s="125"/>
      <c r="AI146" s="101"/>
      <c r="AJ146" s="102" t="n">
        <f aca="false">SUM(T146,AH146,AI146)</f>
        <v>6</v>
      </c>
      <c r="AK146" s="103"/>
      <c r="AL146" s="100"/>
      <c r="AM146" s="104" t="n">
        <f aca="false">SUM(AJ146:AL146)</f>
        <v>6</v>
      </c>
    </row>
    <row r="147" customFormat="false" ht="15.75" hidden="false" customHeight="false" outlineLevel="0" collapsed="false">
      <c r="A147" s="41"/>
      <c r="B147" s="42" t="s">
        <v>112</v>
      </c>
      <c r="C147" s="102" t="s">
        <v>85</v>
      </c>
      <c r="D147" s="138" t="n">
        <v>1</v>
      </c>
      <c r="E147" s="160" t="s">
        <v>41</v>
      </c>
      <c r="F147" s="161" t="n">
        <v>1</v>
      </c>
      <c r="G147" s="100" t="n">
        <v>4</v>
      </c>
      <c r="H147" s="100" t="n">
        <v>14</v>
      </c>
      <c r="I147" s="100"/>
      <c r="J147" s="100"/>
      <c r="K147" s="100"/>
      <c r="L147" s="100"/>
      <c r="M147" s="100"/>
      <c r="N147" s="100"/>
      <c r="O147" s="100"/>
      <c r="P147" s="100"/>
      <c r="Q147" s="100"/>
      <c r="R147" s="101" t="n">
        <v>6</v>
      </c>
      <c r="S147" s="101"/>
      <c r="T147" s="143" t="n">
        <f aca="false">SUM(G147:S147)</f>
        <v>24</v>
      </c>
      <c r="U147" s="103"/>
      <c r="V147" s="100" t="n">
        <v>2</v>
      </c>
      <c r="W147" s="100" t="n">
        <v>8</v>
      </c>
      <c r="X147" s="100"/>
      <c r="Y147" s="100"/>
      <c r="Z147" s="100"/>
      <c r="AA147" s="100"/>
      <c r="AB147" s="100" t="n">
        <v>2</v>
      </c>
      <c r="AC147" s="100"/>
      <c r="AD147" s="100"/>
      <c r="AE147" s="100"/>
      <c r="AF147" s="100"/>
      <c r="AG147" s="96" t="n">
        <v>9</v>
      </c>
      <c r="AH147" s="125" t="n">
        <f aca="false">SUM(U147:AG147)</f>
        <v>21</v>
      </c>
      <c r="AI147" s="101"/>
      <c r="AJ147" s="102" t="n">
        <f aca="false">SUM(T147,AH147,AI147)</f>
        <v>45</v>
      </c>
      <c r="AK147" s="103"/>
      <c r="AL147" s="100"/>
      <c r="AM147" s="104" t="n">
        <f aca="false">SUM(AJ147:AL147)</f>
        <v>45</v>
      </c>
    </row>
    <row r="148" customFormat="false" ht="15.75" hidden="false" customHeight="false" outlineLevel="0" collapsed="false">
      <c r="A148" s="41"/>
      <c r="B148" s="42"/>
      <c r="C148" s="102" t="s">
        <v>71</v>
      </c>
      <c r="D148" s="138" t="n">
        <v>2</v>
      </c>
      <c r="E148" s="160" t="s">
        <v>41</v>
      </c>
      <c r="F148" s="161" t="n">
        <v>1</v>
      </c>
      <c r="G148" s="100"/>
      <c r="H148" s="100" t="n">
        <v>2</v>
      </c>
      <c r="I148" s="100" t="n">
        <v>10</v>
      </c>
      <c r="J148" s="100"/>
      <c r="K148" s="100"/>
      <c r="L148" s="100"/>
      <c r="M148" s="100"/>
      <c r="N148" s="100" t="n">
        <v>2</v>
      </c>
      <c r="O148" s="100"/>
      <c r="P148" s="100"/>
      <c r="Q148" s="100"/>
      <c r="R148" s="101" t="n">
        <v>6</v>
      </c>
      <c r="S148" s="101"/>
      <c r="T148" s="143" t="n">
        <f aca="false">SUM(G148:S148)</f>
        <v>20</v>
      </c>
      <c r="U148" s="103" t="n">
        <v>10</v>
      </c>
      <c r="V148" s="100" t="n">
        <v>4</v>
      </c>
      <c r="W148" s="100" t="n">
        <v>32</v>
      </c>
      <c r="X148" s="100"/>
      <c r="Y148" s="100"/>
      <c r="Z148" s="100"/>
      <c r="AA148" s="100"/>
      <c r="AB148" s="100" t="n">
        <v>2</v>
      </c>
      <c r="AC148" s="100"/>
      <c r="AD148" s="100"/>
      <c r="AE148" s="100"/>
      <c r="AF148" s="100" t="n">
        <v>6</v>
      </c>
      <c r="AG148" s="96"/>
      <c r="AH148" s="125" t="n">
        <f aca="false">SUM(U148:AG148)</f>
        <v>54</v>
      </c>
      <c r="AI148" s="101"/>
      <c r="AJ148" s="102" t="n">
        <f aca="false">SUM(T148,AH148,AI148)</f>
        <v>74</v>
      </c>
      <c r="AK148" s="103"/>
      <c r="AL148" s="100"/>
      <c r="AM148" s="104" t="n">
        <f aca="false">SUM(AJ148:AL148)</f>
        <v>74</v>
      </c>
    </row>
    <row r="149" customFormat="false" ht="15.75" hidden="false" customHeight="false" outlineLevel="0" collapsed="false">
      <c r="A149" s="41"/>
      <c r="B149" s="42"/>
      <c r="C149" s="102" t="s">
        <v>113</v>
      </c>
      <c r="D149" s="138" t="s">
        <v>39</v>
      </c>
      <c r="E149" s="160" t="s">
        <v>59</v>
      </c>
      <c r="F149" s="161" t="n">
        <v>1</v>
      </c>
      <c r="G149" s="103" t="n">
        <v>4</v>
      </c>
      <c r="H149" s="100" t="n">
        <v>26</v>
      </c>
      <c r="I149" s="100" t="n">
        <v>18</v>
      </c>
      <c r="J149" s="100"/>
      <c r="K149" s="100"/>
      <c r="L149" s="100"/>
      <c r="M149" s="100" t="n">
        <v>2</v>
      </c>
      <c r="N149" s="100" t="n">
        <v>6</v>
      </c>
      <c r="O149" s="100"/>
      <c r="P149" s="100"/>
      <c r="Q149" s="100"/>
      <c r="R149" s="101" t="n">
        <v>6</v>
      </c>
      <c r="S149" s="101"/>
      <c r="T149" s="143" t="n">
        <f aca="false">SUM(G149:S149)</f>
        <v>62</v>
      </c>
      <c r="U149" s="103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96"/>
      <c r="AH149" s="125"/>
      <c r="AI149" s="101"/>
      <c r="AJ149" s="102" t="n">
        <f aca="false">SUM(T149,AH149,AI149)</f>
        <v>62</v>
      </c>
      <c r="AK149" s="103"/>
      <c r="AL149" s="100"/>
      <c r="AM149" s="104" t="n">
        <f aca="false">SUM(AJ149:AL149)</f>
        <v>62</v>
      </c>
    </row>
    <row r="150" customFormat="false" ht="15.75" hidden="false" customHeight="false" outlineLevel="0" collapsed="false">
      <c r="A150" s="41"/>
      <c r="B150" s="164"/>
      <c r="C150" s="102" t="s">
        <v>114</v>
      </c>
      <c r="D150" s="149" t="s">
        <v>39</v>
      </c>
      <c r="E150" s="167" t="s">
        <v>41</v>
      </c>
      <c r="F150" s="168" t="n">
        <v>1</v>
      </c>
      <c r="G150" s="103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1"/>
      <c r="S150" s="101"/>
      <c r="T150" s="143"/>
      <c r="U150" s="103" t="n">
        <v>2</v>
      </c>
      <c r="V150" s="100" t="n">
        <v>18</v>
      </c>
      <c r="W150" s="100" t="n">
        <v>2</v>
      </c>
      <c r="X150" s="100"/>
      <c r="Y150" s="100"/>
      <c r="Z150" s="100"/>
      <c r="AA150" s="100" t="n">
        <v>4</v>
      </c>
      <c r="AB150" s="100"/>
      <c r="AC150" s="100"/>
      <c r="AD150" s="100"/>
      <c r="AE150" s="100"/>
      <c r="AF150" s="100"/>
      <c r="AG150" s="96" t="n">
        <v>9</v>
      </c>
      <c r="AH150" s="125" t="n">
        <f aca="false">SUM(U150:AG150)</f>
        <v>35</v>
      </c>
      <c r="AI150" s="101"/>
      <c r="AJ150" s="102" t="n">
        <f aca="false">SUM(T150,AH150,AI150)</f>
        <v>35</v>
      </c>
      <c r="AK150" s="103"/>
      <c r="AL150" s="100"/>
      <c r="AM150" s="104" t="n">
        <f aca="false">SUM(AJ150:AL150)</f>
        <v>35</v>
      </c>
    </row>
    <row r="151" customFormat="false" ht="15.75" hidden="false" customHeight="false" outlineLevel="0" collapsed="false">
      <c r="A151" s="41"/>
      <c r="B151" s="164"/>
      <c r="C151" s="102" t="s">
        <v>85</v>
      </c>
      <c r="D151" s="149" t="s">
        <v>33</v>
      </c>
      <c r="E151" s="167" t="s">
        <v>68</v>
      </c>
      <c r="F151" s="168" t="n">
        <v>1</v>
      </c>
      <c r="G151" s="103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1"/>
      <c r="S151" s="101"/>
      <c r="T151" s="143"/>
      <c r="U151" s="103"/>
      <c r="V151" s="100" t="n">
        <v>12</v>
      </c>
      <c r="W151" s="100" t="n">
        <v>4</v>
      </c>
      <c r="X151" s="100"/>
      <c r="Y151" s="100"/>
      <c r="Z151" s="100"/>
      <c r="AA151" s="100"/>
      <c r="AB151" s="100"/>
      <c r="AC151" s="100"/>
      <c r="AD151" s="100"/>
      <c r="AE151" s="100"/>
      <c r="AF151" s="100" t="n">
        <v>6</v>
      </c>
      <c r="AG151" s="96"/>
      <c r="AH151" s="125" t="n">
        <f aca="false">SUM(U151:AG151)</f>
        <v>22</v>
      </c>
      <c r="AI151" s="101"/>
      <c r="AJ151" s="102" t="n">
        <f aca="false">SUM(T151,AH151,AI151)</f>
        <v>22</v>
      </c>
      <c r="AK151" s="103"/>
      <c r="AL151" s="100"/>
      <c r="AM151" s="104" t="n">
        <f aca="false">SUM(AJ151:AL151)</f>
        <v>22</v>
      </c>
    </row>
    <row r="152" customFormat="false" ht="15.75" hidden="false" customHeight="false" outlineLevel="0" collapsed="false">
      <c r="A152" s="41"/>
      <c r="B152" s="164"/>
      <c r="C152" s="102" t="s">
        <v>71</v>
      </c>
      <c r="D152" s="149" t="s">
        <v>36</v>
      </c>
      <c r="E152" s="167" t="s">
        <v>68</v>
      </c>
      <c r="F152" s="168" t="n">
        <v>1</v>
      </c>
      <c r="G152" s="103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1"/>
      <c r="S152" s="101"/>
      <c r="T152" s="143"/>
      <c r="U152" s="103"/>
      <c r="V152" s="100" t="n">
        <v>4</v>
      </c>
      <c r="W152" s="100" t="n">
        <v>2</v>
      </c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96"/>
      <c r="AH152" s="125" t="n">
        <f aca="false">SUM(U152:AG152)</f>
        <v>6</v>
      </c>
      <c r="AI152" s="101"/>
      <c r="AJ152" s="102" t="n">
        <f aca="false">SUM(T152,AH152,AI152)</f>
        <v>6</v>
      </c>
      <c r="AK152" s="103"/>
      <c r="AL152" s="100"/>
      <c r="AM152" s="104" t="n">
        <f aca="false">SUM(AJ152:AL152)</f>
        <v>6</v>
      </c>
    </row>
    <row r="153" customFormat="false" ht="15.75" hidden="false" customHeight="false" outlineLevel="0" collapsed="false">
      <c r="A153" s="41"/>
      <c r="B153" s="164"/>
      <c r="C153" s="102" t="s">
        <v>115</v>
      </c>
      <c r="D153" s="124" t="s">
        <v>39</v>
      </c>
      <c r="E153" s="166" t="s">
        <v>68</v>
      </c>
      <c r="F153" s="163" t="n">
        <v>1</v>
      </c>
      <c r="G153" s="103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1"/>
      <c r="S153" s="101"/>
      <c r="T153" s="143"/>
      <c r="U153" s="103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96" t="n">
        <v>9</v>
      </c>
      <c r="AH153" s="125" t="n">
        <f aca="false">SUM(U153:AG153)</f>
        <v>9</v>
      </c>
      <c r="AI153" s="101"/>
      <c r="AJ153" s="102" t="n">
        <f aca="false">SUM(T153,AH153,AI153)</f>
        <v>9</v>
      </c>
      <c r="AK153" s="103"/>
      <c r="AL153" s="100"/>
      <c r="AM153" s="104" t="n">
        <f aca="false">SUM(AJ153:AL153)</f>
        <v>9</v>
      </c>
    </row>
    <row r="154" customFormat="false" ht="15.75" hidden="false" customHeight="false" outlineLevel="0" collapsed="false">
      <c r="A154" s="41"/>
      <c r="B154" s="42"/>
      <c r="C154" s="102" t="s">
        <v>85</v>
      </c>
      <c r="D154" s="149" t="s">
        <v>33</v>
      </c>
      <c r="E154" s="167" t="s">
        <v>34</v>
      </c>
      <c r="F154" s="168" t="n">
        <v>1</v>
      </c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1"/>
      <c r="S154" s="101"/>
      <c r="T154" s="143"/>
      <c r="U154" s="103"/>
      <c r="V154" s="100" t="n">
        <v>12</v>
      </c>
      <c r="W154" s="100" t="n">
        <v>4</v>
      </c>
      <c r="X154" s="100"/>
      <c r="Y154" s="100"/>
      <c r="Z154" s="100"/>
      <c r="AA154" s="100"/>
      <c r="AB154" s="100"/>
      <c r="AC154" s="100"/>
      <c r="AD154" s="100"/>
      <c r="AE154" s="100"/>
      <c r="AF154" s="100" t="n">
        <v>6</v>
      </c>
      <c r="AG154" s="96"/>
      <c r="AH154" s="125" t="n">
        <f aca="false">SUM(U154:AG154)</f>
        <v>22</v>
      </c>
      <c r="AI154" s="101"/>
      <c r="AJ154" s="102" t="n">
        <f aca="false">SUM(T154,AH154,AI154)</f>
        <v>22</v>
      </c>
      <c r="AK154" s="103"/>
      <c r="AL154" s="100"/>
      <c r="AM154" s="104" t="n">
        <f aca="false">SUM(AJ154:AL154)</f>
        <v>22</v>
      </c>
    </row>
    <row r="155" customFormat="false" ht="15.75" hidden="false" customHeight="false" outlineLevel="0" collapsed="false">
      <c r="A155" s="41"/>
      <c r="B155" s="42"/>
      <c r="C155" s="102" t="s">
        <v>78</v>
      </c>
      <c r="D155" s="138" t="s">
        <v>36</v>
      </c>
      <c r="E155" s="160" t="s">
        <v>34</v>
      </c>
      <c r="F155" s="161" t="n">
        <v>1</v>
      </c>
      <c r="G155" s="100"/>
      <c r="H155" s="100" t="n">
        <v>2</v>
      </c>
      <c r="I155" s="100" t="n">
        <v>2</v>
      </c>
      <c r="J155" s="100"/>
      <c r="K155" s="100"/>
      <c r="L155" s="100"/>
      <c r="M155" s="100"/>
      <c r="N155" s="100"/>
      <c r="O155" s="100"/>
      <c r="P155" s="100"/>
      <c r="Q155" s="100"/>
      <c r="R155" s="101"/>
      <c r="S155" s="101" t="n">
        <v>9</v>
      </c>
      <c r="T155" s="143" t="n">
        <f aca="false">SUM(G155:S155)</f>
        <v>13</v>
      </c>
      <c r="U155" s="103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96"/>
      <c r="AH155" s="125"/>
      <c r="AI155" s="101"/>
      <c r="AJ155" s="102" t="n">
        <f aca="false">SUM(T155,AH155,AI155)</f>
        <v>13</v>
      </c>
      <c r="AK155" s="103"/>
      <c r="AL155" s="100"/>
      <c r="AM155" s="104" t="n">
        <f aca="false">SUM(AJ155:AL155)</f>
        <v>13</v>
      </c>
    </row>
    <row r="156" customFormat="false" ht="15.75" hidden="false" customHeight="false" outlineLevel="0" collapsed="false">
      <c r="A156" s="41"/>
      <c r="B156" s="41"/>
      <c r="C156" s="102" t="s">
        <v>115</v>
      </c>
      <c r="D156" s="149" t="s">
        <v>36</v>
      </c>
      <c r="E156" s="167" t="s">
        <v>34</v>
      </c>
      <c r="F156" s="168" t="n">
        <v>1</v>
      </c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10"/>
      <c r="S156" s="110"/>
      <c r="T156" s="143"/>
      <c r="U156" s="103"/>
      <c r="V156" s="100" t="n">
        <v>18</v>
      </c>
      <c r="W156" s="100" t="n">
        <v>14</v>
      </c>
      <c r="X156" s="100"/>
      <c r="Y156" s="100"/>
      <c r="Z156" s="100"/>
      <c r="AA156" s="100"/>
      <c r="AB156" s="100"/>
      <c r="AC156" s="100"/>
      <c r="AD156" s="100"/>
      <c r="AE156" s="100"/>
      <c r="AF156" s="100" t="n">
        <v>6</v>
      </c>
      <c r="AG156" s="96"/>
      <c r="AH156" s="125" t="n">
        <f aca="false">SUM(U156:AG156)</f>
        <v>38</v>
      </c>
      <c r="AI156" s="101"/>
      <c r="AJ156" s="102" t="n">
        <f aca="false">SUM(T156,AH156,AI156)</f>
        <v>38</v>
      </c>
      <c r="AK156" s="103"/>
      <c r="AL156" s="100"/>
      <c r="AM156" s="104" t="n">
        <f aca="false">SUM(AJ156:AL156)</f>
        <v>38</v>
      </c>
    </row>
    <row r="157" customFormat="false" ht="15.75" hidden="false" customHeight="false" outlineLevel="0" collapsed="false">
      <c r="A157" s="41"/>
      <c r="B157" s="42"/>
      <c r="C157" s="102" t="s">
        <v>113</v>
      </c>
      <c r="D157" s="138" t="s">
        <v>39</v>
      </c>
      <c r="E157" s="160" t="s">
        <v>34</v>
      </c>
      <c r="F157" s="161" t="n">
        <v>1</v>
      </c>
      <c r="G157" s="100"/>
      <c r="H157" s="100" t="n">
        <v>16</v>
      </c>
      <c r="I157" s="100"/>
      <c r="J157" s="100"/>
      <c r="K157" s="100"/>
      <c r="L157" s="100"/>
      <c r="M157" s="100"/>
      <c r="N157" s="100"/>
      <c r="O157" s="100"/>
      <c r="P157" s="100"/>
      <c r="Q157" s="100"/>
      <c r="R157" s="101"/>
      <c r="S157" s="101"/>
      <c r="T157" s="143" t="n">
        <f aca="false">SUM(G157:S157)</f>
        <v>16</v>
      </c>
      <c r="U157" s="103"/>
      <c r="V157" s="100" t="n">
        <v>14</v>
      </c>
      <c r="W157" s="100" t="n">
        <v>32</v>
      </c>
      <c r="X157" s="100"/>
      <c r="Y157" s="100"/>
      <c r="Z157" s="100"/>
      <c r="AA157" s="100"/>
      <c r="AB157" s="100"/>
      <c r="AC157" s="100"/>
      <c r="AD157" s="100"/>
      <c r="AE157" s="100"/>
      <c r="AF157" s="100" t="n">
        <v>6</v>
      </c>
      <c r="AG157" s="96"/>
      <c r="AH157" s="125" t="n">
        <f aca="false">SUM(U157:AG157)</f>
        <v>52</v>
      </c>
      <c r="AI157" s="101"/>
      <c r="AJ157" s="102" t="n">
        <f aca="false">SUM(T157,AH157,AI157)</f>
        <v>68</v>
      </c>
      <c r="AK157" s="103"/>
      <c r="AL157" s="100"/>
      <c r="AM157" s="104" t="n">
        <f aca="false">SUM(AJ157:AL157)</f>
        <v>68</v>
      </c>
    </row>
    <row r="158" customFormat="false" ht="15.75" hidden="false" customHeight="false" outlineLevel="0" collapsed="false">
      <c r="A158" s="41"/>
      <c r="B158" s="42"/>
      <c r="C158" s="102" t="s">
        <v>67</v>
      </c>
      <c r="D158" s="138" t="s">
        <v>39</v>
      </c>
      <c r="E158" s="167" t="s">
        <v>34</v>
      </c>
      <c r="F158" s="168" t="n">
        <v>1</v>
      </c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1"/>
      <c r="S158" s="101" t="n">
        <v>9</v>
      </c>
      <c r="T158" s="143" t="n">
        <f aca="false">SUM(G158:S158)</f>
        <v>9</v>
      </c>
      <c r="U158" s="103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96"/>
      <c r="AH158" s="125"/>
      <c r="AI158" s="101"/>
      <c r="AJ158" s="102" t="n">
        <f aca="false">SUM(T158,AH158,AI158)</f>
        <v>9</v>
      </c>
      <c r="AK158" s="103"/>
      <c r="AL158" s="100"/>
      <c r="AM158" s="104" t="n">
        <f aca="false">SUM(AJ158:AL158)</f>
        <v>9</v>
      </c>
    </row>
    <row r="159" customFormat="false" ht="15.75" hidden="false" customHeight="false" outlineLevel="0" collapsed="false">
      <c r="A159" s="41"/>
      <c r="B159" s="41"/>
      <c r="C159" s="102" t="s">
        <v>86</v>
      </c>
      <c r="D159" s="138" t="n">
        <v>2</v>
      </c>
      <c r="E159" s="160" t="s">
        <v>59</v>
      </c>
      <c r="F159" s="161" t="n">
        <v>1</v>
      </c>
      <c r="G159" s="103"/>
      <c r="H159" s="100"/>
      <c r="I159" s="100"/>
      <c r="J159" s="100"/>
      <c r="K159" s="100"/>
      <c r="L159" s="100"/>
      <c r="M159" s="100"/>
      <c r="N159" s="100"/>
      <c r="O159" s="100" t="n">
        <v>4</v>
      </c>
      <c r="P159" s="100"/>
      <c r="Q159" s="100"/>
      <c r="R159" s="101"/>
      <c r="S159" s="101"/>
      <c r="T159" s="143" t="n">
        <f aca="false">SUM(G159:S159)</f>
        <v>4</v>
      </c>
      <c r="U159" s="103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96"/>
      <c r="AH159" s="125"/>
      <c r="AI159" s="101"/>
      <c r="AJ159" s="102" t="n">
        <f aca="false">SUM(T159,AH159,AI159)</f>
        <v>4</v>
      </c>
      <c r="AK159" s="103"/>
      <c r="AL159" s="100"/>
      <c r="AM159" s="104" t="n">
        <f aca="false">SUM(AJ159:AL159)</f>
        <v>4</v>
      </c>
    </row>
    <row r="160" customFormat="false" ht="15.75" hidden="false" customHeight="false" outlineLevel="0" collapsed="false">
      <c r="A160" s="41"/>
      <c r="B160" s="41"/>
      <c r="C160" s="102" t="s">
        <v>86</v>
      </c>
      <c r="D160" s="138" t="n">
        <v>3</v>
      </c>
      <c r="E160" s="160" t="s">
        <v>59</v>
      </c>
      <c r="F160" s="161" t="n">
        <v>1</v>
      </c>
      <c r="G160" s="103"/>
      <c r="H160" s="100"/>
      <c r="I160" s="100"/>
      <c r="J160" s="100"/>
      <c r="K160" s="100"/>
      <c r="L160" s="100"/>
      <c r="M160" s="100"/>
      <c r="N160" s="100"/>
      <c r="O160" s="100" t="n">
        <v>4</v>
      </c>
      <c r="P160" s="100"/>
      <c r="Q160" s="100"/>
      <c r="R160" s="101"/>
      <c r="S160" s="101"/>
      <c r="T160" s="143" t="n">
        <f aca="false">SUM(G160:S160)</f>
        <v>4</v>
      </c>
      <c r="U160" s="103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96"/>
      <c r="AH160" s="125"/>
      <c r="AI160" s="101"/>
      <c r="AJ160" s="102" t="n">
        <f aca="false">SUM(T160,AH160,AI160)</f>
        <v>4</v>
      </c>
      <c r="AK160" s="103"/>
      <c r="AL160" s="100"/>
      <c r="AM160" s="104" t="n">
        <f aca="false">SUM(AJ160:AL160)</f>
        <v>4</v>
      </c>
    </row>
    <row r="161" customFormat="false" ht="15.75" hidden="false" customHeight="false" outlineLevel="0" collapsed="false">
      <c r="A161" s="41"/>
      <c r="B161" s="41"/>
      <c r="C161" s="102" t="s">
        <v>86</v>
      </c>
      <c r="D161" s="138" t="n">
        <v>4</v>
      </c>
      <c r="E161" s="160" t="s">
        <v>59</v>
      </c>
      <c r="F161" s="161" t="n">
        <v>1</v>
      </c>
      <c r="G161" s="103"/>
      <c r="H161" s="100"/>
      <c r="I161" s="100"/>
      <c r="J161" s="100"/>
      <c r="K161" s="100"/>
      <c r="L161" s="100"/>
      <c r="M161" s="100"/>
      <c r="N161" s="100"/>
      <c r="O161" s="100" t="n">
        <v>44</v>
      </c>
      <c r="P161" s="100"/>
      <c r="Q161" s="100"/>
      <c r="R161" s="101"/>
      <c r="S161" s="101"/>
      <c r="T161" s="143" t="n">
        <f aca="false">SUM(G161:S161)</f>
        <v>44</v>
      </c>
      <c r="U161" s="103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96"/>
      <c r="AH161" s="125"/>
      <c r="AI161" s="101"/>
      <c r="AJ161" s="102" t="n">
        <f aca="false">SUM(T161,AH161,AI161)</f>
        <v>44</v>
      </c>
      <c r="AK161" s="103"/>
      <c r="AL161" s="100"/>
      <c r="AM161" s="104" t="n">
        <f aca="false">SUM(AJ161:AL161)</f>
        <v>44</v>
      </c>
    </row>
    <row r="162" customFormat="false" ht="15.75" hidden="false" customHeight="false" outlineLevel="0" collapsed="false">
      <c r="A162" s="41"/>
      <c r="B162" s="42"/>
      <c r="C162" s="102" t="s">
        <v>86</v>
      </c>
      <c r="D162" s="138" t="s">
        <v>36</v>
      </c>
      <c r="E162" s="160" t="s">
        <v>59</v>
      </c>
      <c r="F162" s="161" t="n">
        <v>1</v>
      </c>
      <c r="G162" s="103"/>
      <c r="H162" s="100"/>
      <c r="I162" s="100"/>
      <c r="J162" s="100"/>
      <c r="K162" s="100"/>
      <c r="L162" s="100"/>
      <c r="M162" s="100"/>
      <c r="N162" s="100"/>
      <c r="O162" s="100" t="n">
        <v>4</v>
      </c>
      <c r="P162" s="100"/>
      <c r="Q162" s="100"/>
      <c r="R162" s="101"/>
      <c r="S162" s="101"/>
      <c r="T162" s="143" t="n">
        <f aca="false">SUM(G162:S162)</f>
        <v>4</v>
      </c>
      <c r="U162" s="103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96"/>
      <c r="AH162" s="125"/>
      <c r="AI162" s="101"/>
      <c r="AJ162" s="102" t="n">
        <f aca="false">SUM(T162,AH162,AI162)</f>
        <v>4</v>
      </c>
      <c r="AK162" s="103"/>
      <c r="AL162" s="100"/>
      <c r="AM162" s="104" t="n">
        <f aca="false">SUM(AJ162:AL162)</f>
        <v>4</v>
      </c>
    </row>
    <row r="163" customFormat="false" ht="15.75" hidden="false" customHeight="false" outlineLevel="0" collapsed="false">
      <c r="A163" s="41"/>
      <c r="B163" s="42"/>
      <c r="C163" s="102" t="s">
        <v>86</v>
      </c>
      <c r="D163" s="138" t="s">
        <v>39</v>
      </c>
      <c r="E163" s="160" t="s">
        <v>59</v>
      </c>
      <c r="F163" s="161" t="n">
        <v>1</v>
      </c>
      <c r="G163" s="103"/>
      <c r="H163" s="100"/>
      <c r="I163" s="100"/>
      <c r="J163" s="100"/>
      <c r="K163" s="100"/>
      <c r="L163" s="100"/>
      <c r="M163" s="100"/>
      <c r="N163" s="100"/>
      <c r="O163" s="100" t="n">
        <v>20</v>
      </c>
      <c r="P163" s="100"/>
      <c r="Q163" s="100"/>
      <c r="R163" s="101"/>
      <c r="S163" s="101"/>
      <c r="T163" s="143" t="n">
        <f aca="false">SUM(G163:S163)</f>
        <v>20</v>
      </c>
      <c r="U163" s="103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96"/>
      <c r="AH163" s="125"/>
      <c r="AI163" s="101"/>
      <c r="AJ163" s="102" t="n">
        <f aca="false">SUM(T163,AH163,AI163)</f>
        <v>20</v>
      </c>
      <c r="AK163" s="103"/>
      <c r="AL163" s="100"/>
      <c r="AM163" s="104" t="n">
        <f aca="false">SUM(AJ163:AL163)</f>
        <v>20</v>
      </c>
    </row>
    <row r="164" customFormat="false" ht="15.75" hidden="false" customHeight="false" outlineLevel="0" collapsed="false">
      <c r="A164" s="41"/>
      <c r="B164" s="164"/>
      <c r="C164" s="102" t="s">
        <v>86</v>
      </c>
      <c r="D164" s="138" t="s">
        <v>36</v>
      </c>
      <c r="E164" s="167" t="s">
        <v>68</v>
      </c>
      <c r="F164" s="168" t="n">
        <v>1</v>
      </c>
      <c r="G164" s="103"/>
      <c r="H164" s="100"/>
      <c r="I164" s="100"/>
      <c r="J164" s="100"/>
      <c r="K164" s="100"/>
      <c r="L164" s="100"/>
      <c r="M164" s="100"/>
      <c r="N164" s="100"/>
      <c r="O164" s="100" t="n">
        <v>38</v>
      </c>
      <c r="P164" s="100"/>
      <c r="Q164" s="100"/>
      <c r="R164" s="101"/>
      <c r="S164" s="101"/>
      <c r="T164" s="143" t="n">
        <f aca="false">SUM(G164:S164)</f>
        <v>38</v>
      </c>
      <c r="U164" s="103"/>
      <c r="V164" s="100"/>
      <c r="W164" s="100"/>
      <c r="X164" s="100"/>
      <c r="Y164" s="100"/>
      <c r="Z164" s="100"/>
      <c r="AA164" s="100"/>
      <c r="AB164" s="100"/>
      <c r="AC164" s="100" t="n">
        <v>8</v>
      </c>
      <c r="AD164" s="100"/>
      <c r="AE164" s="100"/>
      <c r="AF164" s="100"/>
      <c r="AG164" s="96"/>
      <c r="AH164" s="125" t="n">
        <f aca="false">SUM(U164:AG164)</f>
        <v>8</v>
      </c>
      <c r="AI164" s="101"/>
      <c r="AJ164" s="102" t="n">
        <f aca="false">SUM(T164,AH164,AI164)</f>
        <v>46</v>
      </c>
      <c r="AK164" s="103"/>
      <c r="AL164" s="100"/>
      <c r="AM164" s="104" t="n">
        <f aca="false">SUM(AJ164:AL164)</f>
        <v>46</v>
      </c>
    </row>
    <row r="165" customFormat="false" ht="15.75" hidden="false" customHeight="false" outlineLevel="0" collapsed="false">
      <c r="A165" s="41"/>
      <c r="B165" s="164"/>
      <c r="C165" s="102" t="s">
        <v>86</v>
      </c>
      <c r="D165" s="149" t="s">
        <v>39</v>
      </c>
      <c r="E165" s="167" t="s">
        <v>68</v>
      </c>
      <c r="F165" s="168" t="n">
        <v>1</v>
      </c>
      <c r="G165" s="103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1"/>
      <c r="S165" s="101"/>
      <c r="T165" s="143"/>
      <c r="U165" s="103"/>
      <c r="V165" s="100"/>
      <c r="W165" s="100"/>
      <c r="X165" s="100"/>
      <c r="Y165" s="100"/>
      <c r="Z165" s="100"/>
      <c r="AA165" s="100"/>
      <c r="AB165" s="100"/>
      <c r="AC165" s="100" t="n">
        <v>8</v>
      </c>
      <c r="AD165" s="100"/>
      <c r="AE165" s="100"/>
      <c r="AF165" s="100"/>
      <c r="AG165" s="96"/>
      <c r="AH165" s="125" t="n">
        <f aca="false">SUM(U165:AG165)</f>
        <v>8</v>
      </c>
      <c r="AI165" s="101"/>
      <c r="AJ165" s="102" t="n">
        <f aca="false">SUM(T165,AH165,AI165)</f>
        <v>8</v>
      </c>
      <c r="AK165" s="103"/>
      <c r="AL165" s="100"/>
      <c r="AM165" s="104" t="n">
        <f aca="false">SUM(AJ165:AL165)</f>
        <v>8</v>
      </c>
    </row>
    <row r="166" customFormat="false" ht="15.75" hidden="false" customHeight="false" outlineLevel="0" collapsed="false">
      <c r="A166" s="41"/>
      <c r="B166" s="42"/>
      <c r="C166" s="102" t="s">
        <v>86</v>
      </c>
      <c r="D166" s="138" t="s">
        <v>36</v>
      </c>
      <c r="E166" s="167" t="s">
        <v>34</v>
      </c>
      <c r="F166" s="168" t="n">
        <v>1</v>
      </c>
      <c r="G166" s="100"/>
      <c r="H166" s="100"/>
      <c r="I166" s="100"/>
      <c r="J166" s="100"/>
      <c r="K166" s="100"/>
      <c r="L166" s="100"/>
      <c r="M166" s="100"/>
      <c r="N166" s="100"/>
      <c r="O166" s="100" t="n">
        <v>34</v>
      </c>
      <c r="P166" s="100"/>
      <c r="Q166" s="100"/>
      <c r="R166" s="101"/>
      <c r="S166" s="101"/>
      <c r="T166" s="143" t="n">
        <f aca="false">SUM(G166:S166)</f>
        <v>34</v>
      </c>
      <c r="U166" s="103"/>
      <c r="V166" s="100"/>
      <c r="W166" s="100"/>
      <c r="X166" s="100"/>
      <c r="Y166" s="100"/>
      <c r="Z166" s="100"/>
      <c r="AA166" s="100"/>
      <c r="AB166" s="100"/>
      <c r="AC166" s="100" t="n">
        <v>8</v>
      </c>
      <c r="AD166" s="100"/>
      <c r="AE166" s="100"/>
      <c r="AF166" s="100"/>
      <c r="AG166" s="96"/>
      <c r="AH166" s="125" t="n">
        <f aca="false">SUM(U166:AG166)</f>
        <v>8</v>
      </c>
      <c r="AI166" s="101"/>
      <c r="AJ166" s="102" t="n">
        <f aca="false">SUM(T166,AH166,AI166)</f>
        <v>42</v>
      </c>
      <c r="AK166" s="103"/>
      <c r="AL166" s="100"/>
      <c r="AM166" s="104" t="n">
        <f aca="false">SUM(AJ166:AL166)</f>
        <v>42</v>
      </c>
    </row>
    <row r="167" customFormat="false" ht="15.75" hidden="false" customHeight="false" outlineLevel="0" collapsed="false">
      <c r="A167" s="41"/>
      <c r="B167" s="42"/>
      <c r="C167" s="102" t="s">
        <v>86</v>
      </c>
      <c r="D167" s="138" t="s">
        <v>39</v>
      </c>
      <c r="E167" s="167" t="s">
        <v>34</v>
      </c>
      <c r="F167" s="168" t="n">
        <v>1</v>
      </c>
      <c r="G167" s="100"/>
      <c r="H167" s="100"/>
      <c r="I167" s="100"/>
      <c r="J167" s="100"/>
      <c r="K167" s="100"/>
      <c r="L167" s="100"/>
      <c r="M167" s="100"/>
      <c r="N167" s="100"/>
      <c r="O167" s="100" t="n">
        <v>2</v>
      </c>
      <c r="P167" s="100"/>
      <c r="Q167" s="100"/>
      <c r="R167" s="101"/>
      <c r="S167" s="101"/>
      <c r="T167" s="143" t="n">
        <f aca="false">SUM(G167:S167)</f>
        <v>2</v>
      </c>
      <c r="U167" s="103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96"/>
      <c r="AH167" s="125"/>
      <c r="AI167" s="101"/>
      <c r="AJ167" s="102" t="n">
        <f aca="false">SUM(T167,AH167,AI167)</f>
        <v>2</v>
      </c>
      <c r="AK167" s="103"/>
      <c r="AL167" s="100"/>
      <c r="AM167" s="104" t="n">
        <f aca="false">SUM(AJ167:AL167)</f>
        <v>2</v>
      </c>
    </row>
    <row r="168" customFormat="false" ht="15.75" hidden="false" customHeight="false" outlineLevel="0" collapsed="false">
      <c r="A168" s="41"/>
      <c r="B168" s="164"/>
      <c r="C168" s="102" t="s">
        <v>86</v>
      </c>
      <c r="D168" s="149" t="s">
        <v>33</v>
      </c>
      <c r="E168" s="167" t="s">
        <v>84</v>
      </c>
      <c r="F168" s="168" t="n">
        <v>1</v>
      </c>
      <c r="G168" s="103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1"/>
      <c r="S168" s="101"/>
      <c r="T168" s="143"/>
      <c r="U168" s="103"/>
      <c r="V168" s="100"/>
      <c r="W168" s="100"/>
      <c r="X168" s="100"/>
      <c r="Y168" s="100"/>
      <c r="Z168" s="100"/>
      <c r="AA168" s="100"/>
      <c r="AB168" s="100"/>
      <c r="AC168" s="100" t="n">
        <v>6</v>
      </c>
      <c r="AD168" s="100"/>
      <c r="AE168" s="100"/>
      <c r="AF168" s="100"/>
      <c r="AG168" s="96"/>
      <c r="AH168" s="125" t="n">
        <f aca="false">SUM(U168:AG168)</f>
        <v>6</v>
      </c>
      <c r="AI168" s="101"/>
      <c r="AJ168" s="102" t="n">
        <f aca="false">SUM(T168,AH168,AI168)</f>
        <v>6</v>
      </c>
      <c r="AK168" s="103"/>
      <c r="AL168" s="100"/>
      <c r="AM168" s="104" t="n">
        <f aca="false">SUM(AJ168:AL168)</f>
        <v>6</v>
      </c>
    </row>
    <row r="169" customFormat="false" ht="15.75" hidden="false" customHeight="false" outlineLevel="0" collapsed="false">
      <c r="A169" s="41"/>
      <c r="B169" s="41"/>
      <c r="C169" s="102" t="s">
        <v>27</v>
      </c>
      <c r="D169" s="138" t="n">
        <v>2</v>
      </c>
      <c r="E169" s="160" t="s">
        <v>59</v>
      </c>
      <c r="F169" s="161" t="n">
        <v>1</v>
      </c>
      <c r="G169" s="103"/>
      <c r="H169" s="100"/>
      <c r="I169" s="100"/>
      <c r="J169" s="100"/>
      <c r="K169" s="100"/>
      <c r="L169" s="100"/>
      <c r="M169" s="100"/>
      <c r="N169" s="100"/>
      <c r="O169" s="100"/>
      <c r="P169" s="100" t="n">
        <v>2</v>
      </c>
      <c r="Q169" s="100"/>
      <c r="R169" s="101"/>
      <c r="S169" s="101"/>
      <c r="T169" s="143" t="n">
        <f aca="false">SUM(G169:S169)</f>
        <v>2</v>
      </c>
      <c r="U169" s="103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96"/>
      <c r="AH169" s="125"/>
      <c r="AI169" s="101"/>
      <c r="AJ169" s="102" t="n">
        <f aca="false">SUM(T169,AH169,AI169)</f>
        <v>2</v>
      </c>
      <c r="AK169" s="103"/>
      <c r="AL169" s="100"/>
      <c r="AM169" s="104" t="n">
        <f aca="false">SUM(AJ169:AL169)</f>
        <v>2</v>
      </c>
    </row>
    <row r="170" customFormat="false" ht="15.75" hidden="false" customHeight="false" outlineLevel="0" collapsed="false">
      <c r="A170" s="41"/>
      <c r="B170" s="41"/>
      <c r="C170" s="102" t="s">
        <v>27</v>
      </c>
      <c r="D170" s="138" t="n">
        <v>4</v>
      </c>
      <c r="E170" s="160" t="s">
        <v>59</v>
      </c>
      <c r="F170" s="161" t="n">
        <v>1</v>
      </c>
      <c r="G170" s="103"/>
      <c r="H170" s="100"/>
      <c r="I170" s="100"/>
      <c r="J170" s="100"/>
      <c r="K170" s="100"/>
      <c r="L170" s="100"/>
      <c r="M170" s="100"/>
      <c r="N170" s="100"/>
      <c r="O170" s="100"/>
      <c r="P170" s="100" t="n">
        <v>14</v>
      </c>
      <c r="Q170" s="100"/>
      <c r="R170" s="101"/>
      <c r="S170" s="101"/>
      <c r="T170" s="143" t="n">
        <f aca="false">SUM(G170:S170)</f>
        <v>14</v>
      </c>
      <c r="U170" s="103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96"/>
      <c r="AH170" s="125"/>
      <c r="AI170" s="101"/>
      <c r="AJ170" s="102" t="n">
        <f aca="false">SUM(T170,AH170,AI170)</f>
        <v>14</v>
      </c>
      <c r="AK170" s="103"/>
      <c r="AL170" s="100"/>
      <c r="AM170" s="104" t="n">
        <f aca="false">SUM(AJ170:AL170)</f>
        <v>14</v>
      </c>
    </row>
    <row r="171" customFormat="false" ht="15.75" hidden="false" customHeight="false" outlineLevel="0" collapsed="false">
      <c r="A171" s="41"/>
      <c r="B171" s="42"/>
      <c r="C171" s="102" t="s">
        <v>27</v>
      </c>
      <c r="D171" s="138" t="s">
        <v>39</v>
      </c>
      <c r="E171" s="160" t="s">
        <v>59</v>
      </c>
      <c r="F171" s="161" t="n">
        <v>1</v>
      </c>
      <c r="G171" s="103"/>
      <c r="H171" s="100"/>
      <c r="I171" s="100"/>
      <c r="J171" s="100"/>
      <c r="K171" s="100"/>
      <c r="L171" s="100"/>
      <c r="M171" s="100"/>
      <c r="N171" s="100"/>
      <c r="O171" s="100"/>
      <c r="P171" s="100" t="n">
        <v>3</v>
      </c>
      <c r="Q171" s="100"/>
      <c r="R171" s="101"/>
      <c r="S171" s="101"/>
      <c r="T171" s="143" t="n">
        <f aca="false">SUM(G171:S171)</f>
        <v>3</v>
      </c>
      <c r="U171" s="103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96"/>
      <c r="AH171" s="125"/>
      <c r="AI171" s="101"/>
      <c r="AJ171" s="102" t="n">
        <f aca="false">SUM(T171,AH171,AI171)</f>
        <v>3</v>
      </c>
      <c r="AK171" s="103"/>
      <c r="AL171" s="100"/>
      <c r="AM171" s="104" t="n">
        <f aca="false">SUM(AJ171:AL171)</f>
        <v>3</v>
      </c>
    </row>
    <row r="172" customFormat="false" ht="15.75" hidden="false" customHeight="false" outlineLevel="0" collapsed="false">
      <c r="A172" s="41"/>
      <c r="B172" s="164"/>
      <c r="C172" s="102" t="s">
        <v>27</v>
      </c>
      <c r="D172" s="138" t="s">
        <v>36</v>
      </c>
      <c r="E172" s="167" t="s">
        <v>68</v>
      </c>
      <c r="F172" s="168" t="n">
        <v>1</v>
      </c>
      <c r="G172" s="103"/>
      <c r="H172" s="100"/>
      <c r="I172" s="100"/>
      <c r="J172" s="100"/>
      <c r="K172" s="100"/>
      <c r="L172" s="100"/>
      <c r="M172" s="100"/>
      <c r="N172" s="100"/>
      <c r="O172" s="100"/>
      <c r="P172" s="100" t="n">
        <v>12</v>
      </c>
      <c r="Q172" s="100"/>
      <c r="R172" s="101"/>
      <c r="S172" s="101"/>
      <c r="T172" s="143" t="n">
        <f aca="false">SUM(G172:S172)</f>
        <v>12</v>
      </c>
      <c r="U172" s="103"/>
      <c r="V172" s="100"/>
      <c r="W172" s="100"/>
      <c r="X172" s="100"/>
      <c r="Y172" s="100"/>
      <c r="Z172" s="100"/>
      <c r="AA172" s="100"/>
      <c r="AB172" s="100"/>
      <c r="AC172" s="100"/>
      <c r="AD172" s="100" t="n">
        <v>4</v>
      </c>
      <c r="AE172" s="100"/>
      <c r="AF172" s="100"/>
      <c r="AG172" s="96"/>
      <c r="AH172" s="125" t="n">
        <f aca="false">SUM(U172:AG172)</f>
        <v>4</v>
      </c>
      <c r="AI172" s="101"/>
      <c r="AJ172" s="102" t="n">
        <f aca="false">SUM(T172,AH172,AI172)</f>
        <v>16</v>
      </c>
      <c r="AK172" s="103"/>
      <c r="AL172" s="100"/>
      <c r="AM172" s="104" t="n">
        <f aca="false">SUM(AJ172:AL172)</f>
        <v>16</v>
      </c>
    </row>
    <row r="173" customFormat="false" ht="15.75" hidden="false" customHeight="false" outlineLevel="0" collapsed="false">
      <c r="A173" s="41"/>
      <c r="B173" s="164"/>
      <c r="C173" s="102" t="s">
        <v>27</v>
      </c>
      <c r="D173" s="149" t="s">
        <v>39</v>
      </c>
      <c r="E173" s="167" t="s">
        <v>68</v>
      </c>
      <c r="F173" s="168" t="n">
        <v>1</v>
      </c>
      <c r="G173" s="103"/>
      <c r="H173" s="100"/>
      <c r="I173" s="100"/>
      <c r="J173" s="100"/>
      <c r="K173" s="100"/>
      <c r="L173" s="100"/>
      <c r="M173" s="100"/>
      <c r="N173" s="100"/>
      <c r="O173" s="100"/>
      <c r="P173" s="100" t="n">
        <v>10</v>
      </c>
      <c r="Q173" s="100"/>
      <c r="R173" s="101"/>
      <c r="S173" s="101"/>
      <c r="T173" s="143" t="n">
        <f aca="false">SUM(G173:S173)</f>
        <v>10</v>
      </c>
      <c r="U173" s="103"/>
      <c r="V173" s="100"/>
      <c r="W173" s="100"/>
      <c r="X173" s="100"/>
      <c r="Y173" s="100"/>
      <c r="Z173" s="100"/>
      <c r="AA173" s="100"/>
      <c r="AB173" s="100"/>
      <c r="AC173" s="100"/>
      <c r="AD173" s="100" t="n">
        <v>4</v>
      </c>
      <c r="AE173" s="100"/>
      <c r="AF173" s="100"/>
      <c r="AG173" s="96"/>
      <c r="AH173" s="125" t="n">
        <f aca="false">SUM(U173:AG173)</f>
        <v>4</v>
      </c>
      <c r="AI173" s="101"/>
      <c r="AJ173" s="102" t="n">
        <f aca="false">SUM(T173,AH173,AI173)</f>
        <v>14</v>
      </c>
      <c r="AK173" s="103"/>
      <c r="AL173" s="100"/>
      <c r="AM173" s="104" t="n">
        <f aca="false">SUM(AJ173:AL173)</f>
        <v>14</v>
      </c>
    </row>
    <row r="174" customFormat="false" ht="15.75" hidden="false" customHeight="false" outlineLevel="0" collapsed="false">
      <c r="A174" s="41"/>
      <c r="B174" s="42"/>
      <c r="C174" s="102" t="s">
        <v>27</v>
      </c>
      <c r="D174" s="138" t="s">
        <v>36</v>
      </c>
      <c r="E174" s="167" t="s">
        <v>34</v>
      </c>
      <c r="F174" s="168" t="n">
        <v>1</v>
      </c>
      <c r="G174" s="100"/>
      <c r="H174" s="100"/>
      <c r="I174" s="100"/>
      <c r="J174" s="100"/>
      <c r="K174" s="100"/>
      <c r="L174" s="100"/>
      <c r="M174" s="100"/>
      <c r="N174" s="100"/>
      <c r="O174" s="100"/>
      <c r="P174" s="100" t="n">
        <v>14</v>
      </c>
      <c r="Q174" s="100"/>
      <c r="R174" s="101"/>
      <c r="S174" s="101"/>
      <c r="T174" s="143" t="n">
        <f aca="false">SUM(G174:S174)</f>
        <v>14</v>
      </c>
      <c r="U174" s="103"/>
      <c r="V174" s="100"/>
      <c r="W174" s="100"/>
      <c r="X174" s="100"/>
      <c r="Y174" s="100"/>
      <c r="Z174" s="100"/>
      <c r="AA174" s="100"/>
      <c r="AB174" s="100"/>
      <c r="AC174" s="100"/>
      <c r="AD174" s="100" t="n">
        <v>4</v>
      </c>
      <c r="AE174" s="100"/>
      <c r="AF174" s="100"/>
      <c r="AG174" s="96"/>
      <c r="AH174" s="125" t="n">
        <f aca="false">SUM(U174:AG174)</f>
        <v>4</v>
      </c>
      <c r="AI174" s="101"/>
      <c r="AJ174" s="102" t="n">
        <f aca="false">SUM(T174,AH174,AI174)</f>
        <v>18</v>
      </c>
      <c r="AK174" s="103"/>
      <c r="AL174" s="100"/>
      <c r="AM174" s="104" t="n">
        <f aca="false">SUM(AJ174:AL174)</f>
        <v>18</v>
      </c>
    </row>
    <row r="175" customFormat="false" ht="15.75" hidden="false" customHeight="false" outlineLevel="0" collapsed="false">
      <c r="A175" s="41"/>
      <c r="B175" s="164"/>
      <c r="C175" s="102" t="s">
        <v>27</v>
      </c>
      <c r="D175" s="149" t="s">
        <v>33</v>
      </c>
      <c r="E175" s="167" t="s">
        <v>84</v>
      </c>
      <c r="F175" s="168" t="n">
        <v>1</v>
      </c>
      <c r="G175" s="103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1"/>
      <c r="S175" s="101"/>
      <c r="T175" s="143"/>
      <c r="U175" s="103"/>
      <c r="V175" s="100"/>
      <c r="W175" s="100"/>
      <c r="X175" s="100"/>
      <c r="Y175" s="100"/>
      <c r="Z175" s="100"/>
      <c r="AA175" s="100"/>
      <c r="AB175" s="100"/>
      <c r="AC175" s="100"/>
      <c r="AD175" s="100" t="n">
        <v>3</v>
      </c>
      <c r="AE175" s="100"/>
      <c r="AF175" s="100"/>
      <c r="AG175" s="96"/>
      <c r="AH175" s="125" t="n">
        <f aca="false">SUM(U175:AG175)</f>
        <v>3</v>
      </c>
      <c r="AI175" s="101"/>
      <c r="AJ175" s="102" t="n">
        <f aca="false">SUM(T175,AH175,AI175)</f>
        <v>3</v>
      </c>
      <c r="AK175" s="103"/>
      <c r="AL175" s="100"/>
      <c r="AM175" s="104" t="n">
        <f aca="false">SUM(AJ175:AL175)</f>
        <v>3</v>
      </c>
    </row>
    <row r="176" customFormat="false" ht="16.5" hidden="false" customHeight="false" outlineLevel="0" collapsed="false">
      <c r="A176" s="41"/>
      <c r="B176" s="164"/>
      <c r="C176" s="128" t="s">
        <v>93</v>
      </c>
      <c r="D176" s="149" t="s">
        <v>39</v>
      </c>
      <c r="E176" s="167" t="s">
        <v>34</v>
      </c>
      <c r="F176" s="168" t="n">
        <v>1</v>
      </c>
      <c r="G176" s="103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1"/>
      <c r="S176" s="101"/>
      <c r="T176" s="143"/>
      <c r="U176" s="103"/>
      <c r="V176" s="100"/>
      <c r="W176" s="100"/>
      <c r="X176" s="100"/>
      <c r="Y176" s="100"/>
      <c r="Z176" s="100"/>
      <c r="AA176" s="100"/>
      <c r="AB176" s="100"/>
      <c r="AC176" s="100"/>
      <c r="AD176" s="100" t="n">
        <v>3</v>
      </c>
      <c r="AE176" s="100"/>
      <c r="AF176" s="100"/>
      <c r="AG176" s="96"/>
      <c r="AH176" s="125" t="n">
        <f aca="false">SUM(U176:AG176)</f>
        <v>3</v>
      </c>
      <c r="AI176" s="101"/>
      <c r="AJ176" s="102" t="n">
        <f aca="false">SUM(T176,AH176,AI176)</f>
        <v>3</v>
      </c>
      <c r="AK176" s="103"/>
      <c r="AL176" s="100" t="n">
        <v>144</v>
      </c>
      <c r="AM176" s="104" t="n">
        <f aca="false">SUM(AJ176:AL176)</f>
        <v>147</v>
      </c>
    </row>
    <row r="177" customFormat="false" ht="21" hidden="false" customHeight="true" outlineLevel="0" collapsed="false">
      <c r="A177" s="63"/>
      <c r="B177" s="116" t="s">
        <v>42</v>
      </c>
      <c r="C177" s="169"/>
      <c r="D177" s="117"/>
      <c r="E177" s="117"/>
      <c r="F177" s="157"/>
      <c r="G177" s="69" t="n">
        <f aca="false">SUM(G144:G176)</f>
        <v>8</v>
      </c>
      <c r="H177" s="69" t="n">
        <f aca="false">SUM(H144:H176)</f>
        <v>76</v>
      </c>
      <c r="I177" s="69" t="n">
        <f aca="false">SUM(I144:I176)</f>
        <v>48</v>
      </c>
      <c r="J177" s="69"/>
      <c r="K177" s="69"/>
      <c r="L177" s="69"/>
      <c r="M177" s="69" t="n">
        <f aca="false">SUM(M144:M176)</f>
        <v>4</v>
      </c>
      <c r="N177" s="69" t="n">
        <f aca="false">SUM(N144:N176)</f>
        <v>8</v>
      </c>
      <c r="O177" s="69" t="n">
        <f aca="false">SUM(O144:O176)</f>
        <v>150</v>
      </c>
      <c r="P177" s="69" t="n">
        <f aca="false">SUM(P144:P176)</f>
        <v>55</v>
      </c>
      <c r="Q177" s="69"/>
      <c r="R177" s="69" t="n">
        <f aca="false">SUM(R144:R176)</f>
        <v>18</v>
      </c>
      <c r="S177" s="69" t="n">
        <f aca="false">SUM(S144:S176)</f>
        <v>27</v>
      </c>
      <c r="T177" s="71" t="n">
        <f aca="false">SUM(G177:S177)</f>
        <v>394</v>
      </c>
      <c r="U177" s="69" t="n">
        <f aca="false">SUM(U144:U176)</f>
        <v>14</v>
      </c>
      <c r="V177" s="69" t="n">
        <f aca="false">SUM(V144:V176)</f>
        <v>94</v>
      </c>
      <c r="W177" s="69" t="n">
        <f aca="false">SUM(W144:W176)</f>
        <v>110</v>
      </c>
      <c r="X177" s="69"/>
      <c r="Y177" s="69"/>
      <c r="Z177" s="69"/>
      <c r="AA177" s="69" t="n">
        <f aca="false">SUM(AA144:AA176)</f>
        <v>4</v>
      </c>
      <c r="AB177" s="69" t="n">
        <f aca="false">SUM(AB144:AB176)</f>
        <v>4</v>
      </c>
      <c r="AC177" s="69" t="n">
        <f aca="false">SUM(AC144:AC176)</f>
        <v>30</v>
      </c>
      <c r="AD177" s="69" t="n">
        <f aca="false">SUM(AD144:AD176)</f>
        <v>18</v>
      </c>
      <c r="AE177" s="69"/>
      <c r="AF177" s="69" t="n">
        <f aca="false">SUM(AF144:AF176)</f>
        <v>36</v>
      </c>
      <c r="AG177" s="69" t="n">
        <f aca="false">SUM(AG144:AG176)</f>
        <v>27</v>
      </c>
      <c r="AH177" s="71" t="n">
        <f aca="false">SUM(AH144:AH176)</f>
        <v>337</v>
      </c>
      <c r="AI177" s="73"/>
      <c r="AJ177" s="71" t="n">
        <f aca="false">SUM(AJ144:AJ176)</f>
        <v>731</v>
      </c>
      <c r="AK177" s="71" t="n">
        <f aca="false">SUM(AK144:AK176)</f>
        <v>0</v>
      </c>
      <c r="AL177" s="71" t="n">
        <f aca="false">SUM(AL144:AL176)</f>
        <v>144</v>
      </c>
      <c r="AM177" s="71" t="n">
        <f aca="false">SUM(AM144:AM176)</f>
        <v>875</v>
      </c>
    </row>
    <row r="178" customFormat="false" ht="15.75" hidden="false" customHeight="false" outlineLevel="0" collapsed="false">
      <c r="A178" s="41" t="n">
        <v>8</v>
      </c>
      <c r="B178" s="42" t="s">
        <v>108</v>
      </c>
      <c r="C178" s="159" t="s">
        <v>88</v>
      </c>
      <c r="D178" s="138" t="n">
        <v>3</v>
      </c>
      <c r="E178" s="160" t="s">
        <v>59</v>
      </c>
      <c r="F178" s="161" t="n">
        <v>1</v>
      </c>
      <c r="G178" s="103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1"/>
      <c r="S178" s="101"/>
      <c r="T178" s="102"/>
      <c r="U178" s="103"/>
      <c r="V178" s="100"/>
      <c r="W178" s="100"/>
      <c r="X178" s="100" t="n">
        <v>6</v>
      </c>
      <c r="Y178" s="100"/>
      <c r="Z178" s="100"/>
      <c r="AA178" s="100"/>
      <c r="AB178" s="100"/>
      <c r="AC178" s="100"/>
      <c r="AD178" s="100"/>
      <c r="AE178" s="100"/>
      <c r="AF178" s="100"/>
      <c r="AG178" s="96"/>
      <c r="AH178" s="125" t="n">
        <f aca="false">SUM(U178:AG178)</f>
        <v>6</v>
      </c>
      <c r="AI178" s="101"/>
      <c r="AJ178" s="102" t="n">
        <f aca="false">SUM(T178,AH178,AI178)</f>
        <v>6</v>
      </c>
      <c r="AK178" s="103"/>
      <c r="AL178" s="100"/>
      <c r="AM178" s="104" t="n">
        <f aca="false">SUM(AJ178:AL178)</f>
        <v>6</v>
      </c>
    </row>
    <row r="179" customFormat="false" ht="15.75" hidden="false" customHeight="false" outlineLevel="0" collapsed="false">
      <c r="A179" s="41"/>
      <c r="B179" s="42" t="s">
        <v>110</v>
      </c>
      <c r="C179" s="102" t="s">
        <v>116</v>
      </c>
      <c r="D179" s="138" t="n">
        <v>3</v>
      </c>
      <c r="E179" s="160" t="s">
        <v>59</v>
      </c>
      <c r="F179" s="161" t="n">
        <v>1</v>
      </c>
      <c r="G179" s="103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1"/>
      <c r="S179" s="101"/>
      <c r="T179" s="102"/>
      <c r="U179" s="103"/>
      <c r="V179" s="100" t="n">
        <v>14</v>
      </c>
      <c r="W179" s="100" t="n">
        <v>6</v>
      </c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96"/>
      <c r="AH179" s="125" t="n">
        <f aca="false">SUM(U179:AG179)</f>
        <v>20</v>
      </c>
      <c r="AI179" s="101"/>
      <c r="AJ179" s="102" t="n">
        <f aca="false">SUM(T179,AH179,AI179)</f>
        <v>20</v>
      </c>
      <c r="AK179" s="103"/>
      <c r="AL179" s="100"/>
      <c r="AM179" s="104" t="n">
        <f aca="false">SUM(AJ179:AL179)</f>
        <v>20</v>
      </c>
    </row>
    <row r="180" customFormat="false" ht="15.75" hidden="false" customHeight="false" outlineLevel="0" collapsed="false">
      <c r="A180" s="41"/>
      <c r="B180" s="42" t="s">
        <v>74</v>
      </c>
      <c r="C180" s="102" t="s">
        <v>117</v>
      </c>
      <c r="D180" s="138" t="n">
        <v>4</v>
      </c>
      <c r="E180" s="160" t="s">
        <v>59</v>
      </c>
      <c r="F180" s="161" t="n">
        <v>1</v>
      </c>
      <c r="G180" s="103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1"/>
      <c r="S180" s="101"/>
      <c r="T180" s="102"/>
      <c r="U180" s="103" t="n">
        <v>2</v>
      </c>
      <c r="V180" s="100" t="n">
        <v>20</v>
      </c>
      <c r="W180" s="100" t="n">
        <v>12</v>
      </c>
      <c r="X180" s="100"/>
      <c r="Y180" s="100"/>
      <c r="Z180" s="100"/>
      <c r="AA180" s="100"/>
      <c r="AB180" s="100"/>
      <c r="AC180" s="100"/>
      <c r="AD180" s="100"/>
      <c r="AE180" s="100"/>
      <c r="AF180" s="100" t="n">
        <v>6</v>
      </c>
      <c r="AG180" s="96"/>
      <c r="AH180" s="125" t="n">
        <f aca="false">SUM(U180:AG180)</f>
        <v>40</v>
      </c>
      <c r="AI180" s="101"/>
      <c r="AJ180" s="102" t="n">
        <f aca="false">SUM(T180,AH180,AI180)</f>
        <v>40</v>
      </c>
      <c r="AK180" s="103"/>
      <c r="AL180" s="100"/>
      <c r="AM180" s="104" t="n">
        <f aca="false">SUM(AJ180:AL180)</f>
        <v>40</v>
      </c>
    </row>
    <row r="181" customFormat="false" ht="15.75" hidden="false" customHeight="false" outlineLevel="0" collapsed="false">
      <c r="A181" s="41"/>
      <c r="B181" s="42" t="s">
        <v>118</v>
      </c>
      <c r="C181" s="102" t="s">
        <v>61</v>
      </c>
      <c r="D181" s="138" t="n">
        <v>4</v>
      </c>
      <c r="E181" s="160" t="s">
        <v>59</v>
      </c>
      <c r="F181" s="161" t="n">
        <v>1</v>
      </c>
      <c r="G181" s="103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1"/>
      <c r="S181" s="101"/>
      <c r="T181" s="102"/>
      <c r="U181" s="103"/>
      <c r="V181" s="100"/>
      <c r="W181" s="100"/>
      <c r="X181" s="100" t="n">
        <v>46</v>
      </c>
      <c r="Y181" s="100"/>
      <c r="Z181" s="100"/>
      <c r="AA181" s="100"/>
      <c r="AB181" s="100"/>
      <c r="AC181" s="100"/>
      <c r="AD181" s="100"/>
      <c r="AE181" s="100"/>
      <c r="AF181" s="100"/>
      <c r="AG181" s="96"/>
      <c r="AH181" s="125" t="n">
        <f aca="false">SUM(U181:AG181)</f>
        <v>46</v>
      </c>
      <c r="AI181" s="101"/>
      <c r="AJ181" s="102" t="n">
        <f aca="false">SUM(T181,AH181,AI181)</f>
        <v>46</v>
      </c>
      <c r="AK181" s="103"/>
      <c r="AL181" s="100"/>
      <c r="AM181" s="104" t="n">
        <f aca="false">SUM(AJ181:AL181)</f>
        <v>46</v>
      </c>
    </row>
    <row r="182" customFormat="false" ht="15.75" hidden="false" customHeight="false" outlineLevel="0" collapsed="false">
      <c r="A182" s="41"/>
      <c r="B182" s="41"/>
      <c r="C182" s="102" t="s">
        <v>64</v>
      </c>
      <c r="D182" s="138" t="n">
        <v>4</v>
      </c>
      <c r="E182" s="160" t="s">
        <v>59</v>
      </c>
      <c r="F182" s="161" t="n">
        <v>1</v>
      </c>
      <c r="G182" s="103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1"/>
      <c r="S182" s="101"/>
      <c r="T182" s="102"/>
      <c r="U182" s="103"/>
      <c r="V182" s="100" t="n">
        <v>24</v>
      </c>
      <c r="W182" s="100"/>
      <c r="X182" s="100"/>
      <c r="Y182" s="100"/>
      <c r="Z182" s="100"/>
      <c r="AA182" s="100" t="n">
        <v>10</v>
      </c>
      <c r="AB182" s="100"/>
      <c r="AC182" s="100"/>
      <c r="AD182" s="100"/>
      <c r="AE182" s="100" t="n">
        <v>2</v>
      </c>
      <c r="AF182" s="100"/>
      <c r="AG182" s="96" t="n">
        <v>9</v>
      </c>
      <c r="AH182" s="125" t="n">
        <f aca="false">SUM(U182:AG182)</f>
        <v>45</v>
      </c>
      <c r="AI182" s="101"/>
      <c r="AJ182" s="102" t="n">
        <f aca="false">SUM(T182,AH182,AI182)</f>
        <v>45</v>
      </c>
      <c r="AK182" s="103"/>
      <c r="AL182" s="100"/>
      <c r="AM182" s="104" t="n">
        <f aca="false">SUM(AJ182:AL182)</f>
        <v>45</v>
      </c>
    </row>
    <row r="183" customFormat="false" ht="15.75" hidden="false" customHeight="false" outlineLevel="0" collapsed="false">
      <c r="A183" s="41"/>
      <c r="B183" s="42"/>
      <c r="C183" s="102" t="s">
        <v>63</v>
      </c>
      <c r="D183" s="138" t="n">
        <v>5</v>
      </c>
      <c r="E183" s="160" t="s">
        <v>59</v>
      </c>
      <c r="F183" s="161" t="n">
        <v>1</v>
      </c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1"/>
      <c r="S183" s="101"/>
      <c r="T183" s="102"/>
      <c r="U183" s="103"/>
      <c r="V183" s="100"/>
      <c r="W183" s="100"/>
      <c r="X183" s="100" t="n">
        <v>24</v>
      </c>
      <c r="Y183" s="100"/>
      <c r="Z183" s="100"/>
      <c r="AA183" s="100"/>
      <c r="AB183" s="100"/>
      <c r="AC183" s="100"/>
      <c r="AD183" s="100"/>
      <c r="AE183" s="100"/>
      <c r="AF183" s="100" t="n">
        <v>6</v>
      </c>
      <c r="AG183" s="96"/>
      <c r="AH183" s="125" t="n">
        <f aca="false">SUM(U183:AG183)</f>
        <v>30</v>
      </c>
      <c r="AI183" s="101"/>
      <c r="AJ183" s="102" t="n">
        <f aca="false">SUM(T183,AH183,AI183)</f>
        <v>30</v>
      </c>
      <c r="AK183" s="103"/>
      <c r="AL183" s="100"/>
      <c r="AM183" s="104" t="n">
        <f aca="false">SUM(AJ183:AL183)</f>
        <v>30</v>
      </c>
    </row>
    <row r="184" customFormat="false" ht="15.75" hidden="false" customHeight="false" outlineLevel="0" collapsed="false">
      <c r="A184" s="41"/>
      <c r="B184" s="42"/>
      <c r="C184" s="102" t="s">
        <v>61</v>
      </c>
      <c r="D184" s="138" t="n">
        <v>5</v>
      </c>
      <c r="E184" s="160" t="s">
        <v>59</v>
      </c>
      <c r="F184" s="161" t="n">
        <v>1</v>
      </c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1"/>
      <c r="S184" s="101"/>
      <c r="T184" s="102"/>
      <c r="U184" s="103"/>
      <c r="V184" s="100"/>
      <c r="W184" s="100"/>
      <c r="X184" s="100" t="n">
        <v>48</v>
      </c>
      <c r="Y184" s="100"/>
      <c r="Z184" s="100"/>
      <c r="AA184" s="100"/>
      <c r="AB184" s="100"/>
      <c r="AC184" s="100"/>
      <c r="AD184" s="100"/>
      <c r="AE184" s="100"/>
      <c r="AF184" s="100"/>
      <c r="AG184" s="96"/>
      <c r="AH184" s="125" t="n">
        <f aca="false">SUM(U184:AG184)</f>
        <v>48</v>
      </c>
      <c r="AI184" s="101"/>
      <c r="AJ184" s="102" t="n">
        <f aca="false">SUM(T184,AH184,AI184)</f>
        <v>48</v>
      </c>
      <c r="AK184" s="103"/>
      <c r="AL184" s="100"/>
      <c r="AM184" s="104" t="n">
        <f aca="false">SUM(AJ184:AL184)</f>
        <v>48</v>
      </c>
    </row>
    <row r="185" customFormat="false" ht="15.75" hidden="false" customHeight="false" outlineLevel="0" collapsed="false">
      <c r="A185" s="41"/>
      <c r="B185" s="42"/>
      <c r="C185" s="102" t="s">
        <v>91</v>
      </c>
      <c r="D185" s="138" t="s">
        <v>36</v>
      </c>
      <c r="E185" s="160" t="s">
        <v>59</v>
      </c>
      <c r="F185" s="161" t="n">
        <v>1</v>
      </c>
      <c r="G185" s="103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1"/>
      <c r="S185" s="101"/>
      <c r="T185" s="102"/>
      <c r="U185" s="103"/>
      <c r="V185" s="100"/>
      <c r="W185" s="100"/>
      <c r="X185" s="100" t="n">
        <v>24</v>
      </c>
      <c r="Y185" s="100"/>
      <c r="Z185" s="100"/>
      <c r="AA185" s="100"/>
      <c r="AB185" s="100"/>
      <c r="AC185" s="100"/>
      <c r="AD185" s="100"/>
      <c r="AE185" s="100"/>
      <c r="AF185" s="100"/>
      <c r="AG185" s="96"/>
      <c r="AH185" s="125" t="n">
        <f aca="false">SUM(U185:AG185)</f>
        <v>24</v>
      </c>
      <c r="AI185" s="101"/>
      <c r="AJ185" s="102" t="n">
        <f aca="false">SUM(T185,AH185,AI185)</f>
        <v>24</v>
      </c>
      <c r="AK185" s="103"/>
      <c r="AL185" s="100"/>
      <c r="AM185" s="104" t="n">
        <f aca="false">SUM(AJ185:AL185)</f>
        <v>24</v>
      </c>
    </row>
    <row r="186" customFormat="false" ht="15.75" hidden="false" customHeight="false" outlineLevel="0" collapsed="false">
      <c r="A186" s="41"/>
      <c r="B186" s="42"/>
      <c r="C186" s="102" t="s">
        <v>91</v>
      </c>
      <c r="D186" s="138" t="s">
        <v>39</v>
      </c>
      <c r="E186" s="160" t="s">
        <v>59</v>
      </c>
      <c r="F186" s="161" t="n">
        <v>1</v>
      </c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1"/>
      <c r="S186" s="101"/>
      <c r="T186" s="102"/>
      <c r="U186" s="103"/>
      <c r="V186" s="100"/>
      <c r="W186" s="100"/>
      <c r="X186" s="100" t="n">
        <v>12</v>
      </c>
      <c r="Y186" s="100"/>
      <c r="Z186" s="100"/>
      <c r="AA186" s="100"/>
      <c r="AB186" s="100"/>
      <c r="AC186" s="100"/>
      <c r="AD186" s="100"/>
      <c r="AE186" s="100"/>
      <c r="AF186" s="100"/>
      <c r="AG186" s="96"/>
      <c r="AH186" s="125" t="n">
        <f aca="false">SUM(U186:AG186)</f>
        <v>12</v>
      </c>
      <c r="AI186" s="101"/>
      <c r="AJ186" s="102" t="n">
        <f aca="false">SUM(T186,AH186,AI186)</f>
        <v>12</v>
      </c>
      <c r="AK186" s="103"/>
      <c r="AL186" s="100"/>
      <c r="AM186" s="104" t="n">
        <f aca="false">SUM(AJ186:AL186)</f>
        <v>12</v>
      </c>
    </row>
    <row r="187" customFormat="false" ht="15.75" hidden="false" customHeight="false" outlineLevel="0" collapsed="false">
      <c r="A187" s="41"/>
      <c r="B187" s="42"/>
      <c r="C187" s="102" t="s">
        <v>119</v>
      </c>
      <c r="D187" s="138" t="s">
        <v>39</v>
      </c>
      <c r="E187" s="167" t="s">
        <v>59</v>
      </c>
      <c r="F187" s="168" t="n">
        <v>1</v>
      </c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1"/>
      <c r="S187" s="101"/>
      <c r="T187" s="102"/>
      <c r="U187" s="103"/>
      <c r="V187" s="100" t="n">
        <v>36</v>
      </c>
      <c r="W187" s="100" t="n">
        <v>4</v>
      </c>
      <c r="X187" s="100"/>
      <c r="Y187" s="100"/>
      <c r="Z187" s="100"/>
      <c r="AA187" s="100" t="n">
        <v>4</v>
      </c>
      <c r="AB187" s="100"/>
      <c r="AC187" s="100"/>
      <c r="AD187" s="100"/>
      <c r="AE187" s="100" t="n">
        <v>2</v>
      </c>
      <c r="AF187" s="100"/>
      <c r="AG187" s="96" t="n">
        <v>9</v>
      </c>
      <c r="AH187" s="125" t="n">
        <f aca="false">SUM(U187:AG187)</f>
        <v>55</v>
      </c>
      <c r="AI187" s="101"/>
      <c r="AJ187" s="102" t="n">
        <f aca="false">SUM(T187,AH187,AI187)</f>
        <v>55</v>
      </c>
      <c r="AK187" s="103"/>
      <c r="AL187" s="100"/>
      <c r="AM187" s="104" t="n">
        <f aca="false">SUM(AJ187:AL187)</f>
        <v>55</v>
      </c>
    </row>
    <row r="188" customFormat="false" ht="15.75" hidden="false" customHeight="false" outlineLevel="0" collapsed="false">
      <c r="A188" s="41"/>
      <c r="B188" s="41"/>
      <c r="C188" s="102" t="s">
        <v>86</v>
      </c>
      <c r="D188" s="138" t="n">
        <v>2</v>
      </c>
      <c r="E188" s="160" t="s">
        <v>59</v>
      </c>
      <c r="F188" s="161" t="n">
        <v>1</v>
      </c>
      <c r="G188" s="103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1"/>
      <c r="S188" s="101"/>
      <c r="T188" s="102"/>
      <c r="U188" s="103"/>
      <c r="V188" s="100"/>
      <c r="W188" s="100"/>
      <c r="X188" s="100"/>
      <c r="Y188" s="100"/>
      <c r="Z188" s="100"/>
      <c r="AA188" s="100"/>
      <c r="AB188" s="100"/>
      <c r="AC188" s="100" t="n">
        <v>4</v>
      </c>
      <c r="AD188" s="100"/>
      <c r="AE188" s="100"/>
      <c r="AF188" s="100"/>
      <c r="AG188" s="96"/>
      <c r="AH188" s="125" t="n">
        <f aca="false">SUM(U188:AG188)</f>
        <v>4</v>
      </c>
      <c r="AI188" s="101"/>
      <c r="AJ188" s="102" t="n">
        <f aca="false">SUM(T188,AH188,AI188)</f>
        <v>4</v>
      </c>
      <c r="AK188" s="103"/>
      <c r="AL188" s="100"/>
      <c r="AM188" s="104" t="n">
        <f aca="false">SUM(AJ188:AL188)</f>
        <v>4</v>
      </c>
    </row>
    <row r="189" customFormat="false" ht="15.75" hidden="false" customHeight="false" outlineLevel="0" collapsed="false">
      <c r="A189" s="41"/>
      <c r="B189" s="42"/>
      <c r="C189" s="102" t="s">
        <v>86</v>
      </c>
      <c r="D189" s="138" t="n">
        <v>5</v>
      </c>
      <c r="E189" s="160" t="s">
        <v>59</v>
      </c>
      <c r="F189" s="161" t="n">
        <v>1</v>
      </c>
      <c r="G189" s="103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1"/>
      <c r="S189" s="101"/>
      <c r="T189" s="102"/>
      <c r="U189" s="103"/>
      <c r="V189" s="100"/>
      <c r="W189" s="100"/>
      <c r="X189" s="100"/>
      <c r="Y189" s="100"/>
      <c r="Z189" s="100"/>
      <c r="AA189" s="100"/>
      <c r="AB189" s="100"/>
      <c r="AC189" s="100" t="n">
        <v>6</v>
      </c>
      <c r="AD189" s="100"/>
      <c r="AE189" s="100"/>
      <c r="AF189" s="100"/>
      <c r="AG189" s="96"/>
      <c r="AH189" s="125" t="n">
        <f aca="false">SUM(U189:AG189)</f>
        <v>6</v>
      </c>
      <c r="AI189" s="101"/>
      <c r="AJ189" s="102" t="n">
        <f aca="false">SUM(T189,AH189,AI189)</f>
        <v>6</v>
      </c>
      <c r="AK189" s="103"/>
      <c r="AL189" s="100"/>
      <c r="AM189" s="104" t="n">
        <f aca="false">SUM(AJ189:AL189)</f>
        <v>6</v>
      </c>
    </row>
    <row r="190" customFormat="false" ht="15.75" hidden="false" customHeight="false" outlineLevel="0" collapsed="false">
      <c r="A190" s="41"/>
      <c r="B190" s="42"/>
      <c r="C190" s="102" t="s">
        <v>86</v>
      </c>
      <c r="D190" s="138" t="s">
        <v>36</v>
      </c>
      <c r="E190" s="160" t="s">
        <v>59</v>
      </c>
      <c r="F190" s="161" t="n">
        <v>1</v>
      </c>
      <c r="G190" s="103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1"/>
      <c r="S190" s="101"/>
      <c r="T190" s="102"/>
      <c r="U190" s="103"/>
      <c r="V190" s="100"/>
      <c r="W190" s="100"/>
      <c r="X190" s="100"/>
      <c r="Y190" s="100"/>
      <c r="Z190" s="100"/>
      <c r="AA190" s="100"/>
      <c r="AB190" s="100"/>
      <c r="AC190" s="100" t="n">
        <v>28</v>
      </c>
      <c r="AD190" s="100"/>
      <c r="AE190" s="100"/>
      <c r="AF190" s="100"/>
      <c r="AG190" s="96"/>
      <c r="AH190" s="125" t="n">
        <f aca="false">SUM(U190:AG190)</f>
        <v>28</v>
      </c>
      <c r="AI190" s="101"/>
      <c r="AJ190" s="102" t="n">
        <f aca="false">SUM(T190,AH190,AI190)</f>
        <v>28</v>
      </c>
      <c r="AK190" s="103"/>
      <c r="AL190" s="100"/>
      <c r="AM190" s="104" t="n">
        <f aca="false">SUM(AJ190:AL190)</f>
        <v>28</v>
      </c>
    </row>
    <row r="191" customFormat="false" ht="15.75" hidden="false" customHeight="false" outlineLevel="0" collapsed="false">
      <c r="A191" s="41"/>
      <c r="B191" s="42"/>
      <c r="C191" s="102" t="s">
        <v>86</v>
      </c>
      <c r="D191" s="138" t="s">
        <v>39</v>
      </c>
      <c r="E191" s="167" t="s">
        <v>59</v>
      </c>
      <c r="F191" s="168" t="n">
        <v>1</v>
      </c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1"/>
      <c r="S191" s="101"/>
      <c r="T191" s="102"/>
      <c r="U191" s="103"/>
      <c r="V191" s="100"/>
      <c r="W191" s="100"/>
      <c r="X191" s="100"/>
      <c r="Y191" s="100"/>
      <c r="Z191" s="100"/>
      <c r="AA191" s="100"/>
      <c r="AB191" s="100"/>
      <c r="AC191" s="100" t="n">
        <v>28</v>
      </c>
      <c r="AD191" s="100"/>
      <c r="AE191" s="100"/>
      <c r="AF191" s="100"/>
      <c r="AG191" s="96"/>
      <c r="AH191" s="125" t="n">
        <f aca="false">SUM(U191:AG191)</f>
        <v>28</v>
      </c>
      <c r="AI191" s="101"/>
      <c r="AJ191" s="102" t="n">
        <f aca="false">SUM(T191,AH191,AI191)</f>
        <v>28</v>
      </c>
      <c r="AK191" s="103"/>
      <c r="AL191" s="100"/>
      <c r="AM191" s="104" t="n">
        <f aca="false">SUM(AJ191:AL191)</f>
        <v>28</v>
      </c>
    </row>
    <row r="192" customFormat="false" ht="15.75" hidden="false" customHeight="false" outlineLevel="0" collapsed="false">
      <c r="A192" s="41"/>
      <c r="B192" s="41"/>
      <c r="C192" s="102" t="s">
        <v>27</v>
      </c>
      <c r="D192" s="138" t="n">
        <v>2</v>
      </c>
      <c r="E192" s="160" t="s">
        <v>59</v>
      </c>
      <c r="F192" s="161" t="n">
        <v>1</v>
      </c>
      <c r="G192" s="103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1"/>
      <c r="S192" s="101"/>
      <c r="T192" s="102"/>
      <c r="U192" s="103"/>
      <c r="V192" s="100"/>
      <c r="W192" s="100"/>
      <c r="X192" s="100"/>
      <c r="Y192" s="100"/>
      <c r="Z192" s="100"/>
      <c r="AA192" s="100"/>
      <c r="AB192" s="100"/>
      <c r="AC192" s="100"/>
      <c r="AD192" s="100" t="n">
        <v>2</v>
      </c>
      <c r="AE192" s="100"/>
      <c r="AF192" s="100"/>
      <c r="AG192" s="96"/>
      <c r="AH192" s="125" t="n">
        <f aca="false">SUM(U192:AG192)</f>
        <v>2</v>
      </c>
      <c r="AI192" s="101"/>
      <c r="AJ192" s="102" t="n">
        <f aca="false">SUM(T192,AH192,AI192)</f>
        <v>2</v>
      </c>
      <c r="AK192" s="103"/>
      <c r="AL192" s="100"/>
      <c r="AM192" s="104" t="n">
        <f aca="false">SUM(AJ192:AL192)</f>
        <v>2</v>
      </c>
    </row>
    <row r="193" customFormat="false" ht="15.75" hidden="false" customHeight="false" outlineLevel="0" collapsed="false">
      <c r="A193" s="41"/>
      <c r="B193" s="42"/>
      <c r="C193" s="102" t="s">
        <v>27</v>
      </c>
      <c r="D193" s="138" t="n">
        <v>5</v>
      </c>
      <c r="E193" s="160" t="s">
        <v>59</v>
      </c>
      <c r="F193" s="161" t="n">
        <v>1</v>
      </c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1"/>
      <c r="S193" s="101"/>
      <c r="T193" s="102"/>
      <c r="U193" s="103"/>
      <c r="V193" s="100"/>
      <c r="W193" s="100"/>
      <c r="X193" s="100"/>
      <c r="Y193" s="100"/>
      <c r="Z193" s="100"/>
      <c r="AA193" s="100"/>
      <c r="AB193" s="100"/>
      <c r="AC193" s="100"/>
      <c r="AD193" s="100" t="n">
        <v>3</v>
      </c>
      <c r="AE193" s="100"/>
      <c r="AF193" s="100"/>
      <c r="AG193" s="96"/>
      <c r="AH193" s="125" t="n">
        <f aca="false">SUM(U193:AG193)</f>
        <v>3</v>
      </c>
      <c r="AI193" s="101"/>
      <c r="AJ193" s="102" t="n">
        <f aca="false">SUM(T193,AH193,AI193)</f>
        <v>3</v>
      </c>
      <c r="AK193" s="103"/>
      <c r="AL193" s="100"/>
      <c r="AM193" s="104" t="n">
        <f aca="false">SUM(AJ193:AL193)</f>
        <v>3</v>
      </c>
    </row>
    <row r="194" customFormat="false" ht="15.75" hidden="false" customHeight="false" outlineLevel="0" collapsed="false">
      <c r="A194" s="41"/>
      <c r="B194" s="42"/>
      <c r="C194" s="102" t="s">
        <v>27</v>
      </c>
      <c r="D194" s="138" t="s">
        <v>36</v>
      </c>
      <c r="E194" s="160" t="s">
        <v>59</v>
      </c>
      <c r="F194" s="161" t="n">
        <v>1</v>
      </c>
      <c r="G194" s="103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1"/>
      <c r="S194" s="101"/>
      <c r="T194" s="102"/>
      <c r="U194" s="103"/>
      <c r="V194" s="100"/>
      <c r="W194" s="100"/>
      <c r="X194" s="100"/>
      <c r="Y194" s="100"/>
      <c r="Z194" s="100"/>
      <c r="AA194" s="100"/>
      <c r="AB194" s="100"/>
      <c r="AC194" s="100"/>
      <c r="AD194" s="100" t="n">
        <v>14</v>
      </c>
      <c r="AE194" s="100"/>
      <c r="AF194" s="100"/>
      <c r="AG194" s="96"/>
      <c r="AH194" s="125" t="n">
        <f aca="false">SUM(U194:AG194)</f>
        <v>14</v>
      </c>
      <c r="AI194" s="101"/>
      <c r="AJ194" s="102" t="n">
        <f aca="false">SUM(T194,AH194,AI194)</f>
        <v>14</v>
      </c>
      <c r="AK194" s="103"/>
      <c r="AL194" s="100"/>
      <c r="AM194" s="104" t="n">
        <f aca="false">SUM(AJ194:AL194)</f>
        <v>14</v>
      </c>
    </row>
    <row r="195" customFormat="false" ht="15.75" hidden="false" customHeight="false" outlineLevel="0" collapsed="false">
      <c r="A195" s="41"/>
      <c r="B195" s="42"/>
      <c r="C195" s="102" t="s">
        <v>27</v>
      </c>
      <c r="D195" s="138" t="s">
        <v>39</v>
      </c>
      <c r="E195" s="160" t="s">
        <v>59</v>
      </c>
      <c r="F195" s="161" t="n">
        <v>1</v>
      </c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1"/>
      <c r="S195" s="101"/>
      <c r="T195" s="102"/>
      <c r="U195" s="103"/>
      <c r="V195" s="100"/>
      <c r="W195" s="100"/>
      <c r="X195" s="100"/>
      <c r="Y195" s="100"/>
      <c r="Z195" s="100"/>
      <c r="AA195" s="100"/>
      <c r="AB195" s="100"/>
      <c r="AC195" s="100"/>
      <c r="AD195" s="100" t="n">
        <v>14</v>
      </c>
      <c r="AE195" s="100"/>
      <c r="AF195" s="100"/>
      <c r="AG195" s="96"/>
      <c r="AH195" s="125" t="n">
        <f aca="false">SUM(U195:AG195)</f>
        <v>14</v>
      </c>
      <c r="AI195" s="101"/>
      <c r="AJ195" s="102" t="n">
        <f aca="false">SUM(T195,AH195,AI195)</f>
        <v>14</v>
      </c>
      <c r="AK195" s="103"/>
      <c r="AL195" s="100"/>
      <c r="AM195" s="104" t="n">
        <f aca="false">SUM(AJ195:AL195)</f>
        <v>14</v>
      </c>
    </row>
    <row r="196" customFormat="false" ht="16.5" hidden="false" customHeight="false" outlineLevel="0" collapsed="false">
      <c r="A196" s="41"/>
      <c r="B196" s="164"/>
      <c r="C196" s="128" t="s">
        <v>93</v>
      </c>
      <c r="D196" s="149" t="s">
        <v>39</v>
      </c>
      <c r="E196" s="167" t="s">
        <v>59</v>
      </c>
      <c r="F196" s="168" t="n">
        <v>1</v>
      </c>
      <c r="G196" s="103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1"/>
      <c r="S196" s="101"/>
      <c r="T196" s="102"/>
      <c r="U196" s="103"/>
      <c r="V196" s="100"/>
      <c r="W196" s="100"/>
      <c r="X196" s="100"/>
      <c r="Y196" s="100"/>
      <c r="Z196" s="100"/>
      <c r="AA196" s="100"/>
      <c r="AB196" s="100"/>
      <c r="AC196" s="100"/>
      <c r="AD196" s="100" t="n">
        <v>3</v>
      </c>
      <c r="AE196" s="100"/>
      <c r="AF196" s="100"/>
      <c r="AG196" s="96"/>
      <c r="AH196" s="125" t="n">
        <f aca="false">SUM(U196:AG196)</f>
        <v>3</v>
      </c>
      <c r="AI196" s="101"/>
      <c r="AJ196" s="102" t="n">
        <f aca="false">SUM(T196,AH196,AI196)</f>
        <v>3</v>
      </c>
      <c r="AK196" s="103"/>
      <c r="AL196" s="100" t="n">
        <v>144</v>
      </c>
      <c r="AM196" s="104" t="n">
        <f aca="false">SUM(AJ196:AL196)</f>
        <v>147</v>
      </c>
    </row>
    <row r="197" customFormat="false" ht="21" hidden="false" customHeight="true" outlineLevel="0" collapsed="false">
      <c r="A197" s="63"/>
      <c r="B197" s="116" t="s">
        <v>42</v>
      </c>
      <c r="C197" s="169"/>
      <c r="D197" s="117"/>
      <c r="E197" s="117"/>
      <c r="F197" s="157"/>
      <c r="G197" s="121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71"/>
      <c r="U197" s="69" t="n">
        <f aca="false">SUM(U178:U196)</f>
        <v>2</v>
      </c>
      <c r="V197" s="69" t="n">
        <f aca="false">SUM(V178:V196)</f>
        <v>94</v>
      </c>
      <c r="W197" s="69" t="n">
        <f aca="false">SUM(W178:W196)</f>
        <v>22</v>
      </c>
      <c r="X197" s="69" t="n">
        <f aca="false">SUM(X178:X196)</f>
        <v>160</v>
      </c>
      <c r="Y197" s="69"/>
      <c r="Z197" s="69"/>
      <c r="AA197" s="69" t="n">
        <f aca="false">SUM(AA178:AA196)</f>
        <v>14</v>
      </c>
      <c r="AB197" s="69"/>
      <c r="AC197" s="69" t="n">
        <f aca="false">SUM(AC178:AC196)</f>
        <v>66</v>
      </c>
      <c r="AD197" s="69" t="n">
        <f aca="false">SUM(AD178:AD196)</f>
        <v>36</v>
      </c>
      <c r="AE197" s="69" t="n">
        <f aca="false">SUM(AE178:AE196)</f>
        <v>4</v>
      </c>
      <c r="AF197" s="69" t="n">
        <f aca="false">SUM(AF178:AF196)</f>
        <v>12</v>
      </c>
      <c r="AG197" s="69" t="n">
        <f aca="false">SUM(AG178:AG196)</f>
        <v>18</v>
      </c>
      <c r="AH197" s="71" t="n">
        <f aca="false">SUM(AH178:AH196)</f>
        <v>428</v>
      </c>
      <c r="AI197" s="73"/>
      <c r="AJ197" s="71" t="n">
        <f aca="false">SUM(AJ178:AJ196)</f>
        <v>428</v>
      </c>
      <c r="AK197" s="72"/>
      <c r="AL197" s="71" t="n">
        <f aca="false">SUM(AL178:AL196)</f>
        <v>144</v>
      </c>
      <c r="AM197" s="71" t="n">
        <f aca="false">SUM(AM178:AM196)</f>
        <v>572</v>
      </c>
    </row>
    <row r="198" customFormat="false" ht="15.75" hidden="false" customHeight="false" outlineLevel="0" collapsed="false">
      <c r="A198" s="41" t="n">
        <v>9</v>
      </c>
      <c r="B198" s="42" t="s">
        <v>31</v>
      </c>
      <c r="C198" s="159" t="s">
        <v>88</v>
      </c>
      <c r="D198" s="138" t="n">
        <v>2</v>
      </c>
      <c r="E198" s="160" t="s">
        <v>59</v>
      </c>
      <c r="F198" s="161" t="n">
        <v>1</v>
      </c>
      <c r="G198" s="103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1"/>
      <c r="S198" s="101"/>
      <c r="T198" s="143"/>
      <c r="U198" s="103"/>
      <c r="V198" s="100"/>
      <c r="W198" s="100"/>
      <c r="X198" s="100" t="n">
        <v>4</v>
      </c>
      <c r="Y198" s="100"/>
      <c r="Z198" s="100"/>
      <c r="AA198" s="100"/>
      <c r="AB198" s="100"/>
      <c r="AC198" s="100"/>
      <c r="AD198" s="100"/>
      <c r="AE198" s="100"/>
      <c r="AF198" s="100" t="n">
        <v>6</v>
      </c>
      <c r="AG198" s="96"/>
      <c r="AH198" s="125" t="n">
        <f aca="false">SUM(U198:AG198)</f>
        <v>10</v>
      </c>
      <c r="AI198" s="101"/>
      <c r="AJ198" s="102" t="n">
        <f aca="false">SUM(T198,AH198,AI198)</f>
        <v>10</v>
      </c>
      <c r="AK198" s="103"/>
      <c r="AL198" s="100"/>
      <c r="AM198" s="104" t="n">
        <f aca="false">SUM(AJ198:AL198)</f>
        <v>10</v>
      </c>
    </row>
    <row r="199" customFormat="false" ht="15.75" hidden="false" customHeight="false" outlineLevel="0" collapsed="false">
      <c r="A199" s="41"/>
      <c r="B199" s="42" t="s">
        <v>120</v>
      </c>
      <c r="C199" s="102" t="s">
        <v>71</v>
      </c>
      <c r="D199" s="138" t="n">
        <v>3</v>
      </c>
      <c r="E199" s="160" t="s">
        <v>59</v>
      </c>
      <c r="F199" s="161" t="n">
        <v>1</v>
      </c>
      <c r="G199" s="103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1"/>
      <c r="S199" s="101" t="n">
        <v>9</v>
      </c>
      <c r="T199" s="143" t="n">
        <f aca="false">SUM(G199:S199)</f>
        <v>9</v>
      </c>
      <c r="U199" s="103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 t="n">
        <v>6</v>
      </c>
      <c r="AG199" s="96"/>
      <c r="AH199" s="125" t="n">
        <f aca="false">SUM(U199:AG199)</f>
        <v>6</v>
      </c>
      <c r="AI199" s="101"/>
      <c r="AJ199" s="102" t="n">
        <f aca="false">SUM(T199,AH199,AI199)</f>
        <v>15</v>
      </c>
      <c r="AK199" s="103"/>
      <c r="AL199" s="100"/>
      <c r="AM199" s="104" t="n">
        <f aca="false">SUM(AJ199:AL199)</f>
        <v>15</v>
      </c>
    </row>
    <row r="200" customFormat="false" ht="15.75" hidden="false" customHeight="false" outlineLevel="0" collapsed="false">
      <c r="A200" s="41"/>
      <c r="B200" s="42" t="s">
        <v>121</v>
      </c>
      <c r="C200" s="102" t="s">
        <v>115</v>
      </c>
      <c r="D200" s="138" t="n">
        <v>3</v>
      </c>
      <c r="E200" s="160" t="s">
        <v>59</v>
      </c>
      <c r="F200" s="161" t="n">
        <v>1</v>
      </c>
      <c r="G200" s="103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1" t="n">
        <v>6</v>
      </c>
      <c r="S200" s="101"/>
      <c r="T200" s="143" t="n">
        <f aca="false">SUM(G200:S200)</f>
        <v>6</v>
      </c>
      <c r="U200" s="103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96" t="n">
        <v>9</v>
      </c>
      <c r="AH200" s="125" t="n">
        <f aca="false">SUM(U200:AG200)</f>
        <v>9</v>
      </c>
      <c r="AI200" s="101"/>
      <c r="AJ200" s="102" t="n">
        <f aca="false">SUM(T200,AH200,AI200)</f>
        <v>15</v>
      </c>
      <c r="AK200" s="103"/>
      <c r="AL200" s="100"/>
      <c r="AM200" s="104" t="n">
        <f aca="false">SUM(AJ200:AL200)</f>
        <v>15</v>
      </c>
    </row>
    <row r="201" customFormat="false" ht="15.75" hidden="false" customHeight="false" outlineLevel="0" collapsed="false">
      <c r="A201" s="41"/>
      <c r="B201" s="41"/>
      <c r="C201" s="102" t="s">
        <v>63</v>
      </c>
      <c r="D201" s="138" t="n">
        <v>4</v>
      </c>
      <c r="E201" s="160" t="s">
        <v>59</v>
      </c>
      <c r="F201" s="161" t="n">
        <v>1</v>
      </c>
      <c r="G201" s="103"/>
      <c r="H201" s="100" t="n">
        <v>2</v>
      </c>
      <c r="I201" s="100"/>
      <c r="J201" s="100" t="n">
        <v>12</v>
      </c>
      <c r="K201" s="100"/>
      <c r="L201" s="100"/>
      <c r="M201" s="100" t="n">
        <v>2</v>
      </c>
      <c r="N201" s="100"/>
      <c r="O201" s="100"/>
      <c r="P201" s="100"/>
      <c r="Q201" s="100"/>
      <c r="R201" s="101"/>
      <c r="S201" s="101"/>
      <c r="T201" s="143" t="n">
        <f aca="false">SUM(G201:S201)</f>
        <v>16</v>
      </c>
      <c r="U201" s="103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96"/>
      <c r="AH201" s="125"/>
      <c r="AI201" s="101"/>
      <c r="AJ201" s="102" t="n">
        <f aca="false">SUM(T201,AH201,AI201)</f>
        <v>16</v>
      </c>
      <c r="AK201" s="103"/>
      <c r="AL201" s="100"/>
      <c r="AM201" s="104" t="n">
        <f aca="false">SUM(AJ201:AL201)</f>
        <v>16</v>
      </c>
    </row>
    <row r="202" customFormat="false" ht="15.75" hidden="false" customHeight="false" outlineLevel="0" collapsed="false">
      <c r="A202" s="41"/>
      <c r="B202" s="41"/>
      <c r="C202" s="102" t="s">
        <v>61</v>
      </c>
      <c r="D202" s="138" t="n">
        <v>4</v>
      </c>
      <c r="E202" s="160" t="s">
        <v>59</v>
      </c>
      <c r="F202" s="161" t="n">
        <v>1</v>
      </c>
      <c r="G202" s="103"/>
      <c r="H202" s="100"/>
      <c r="I202" s="100"/>
      <c r="J202" s="100" t="n">
        <v>50</v>
      </c>
      <c r="K202" s="100"/>
      <c r="L202" s="100"/>
      <c r="M202" s="100"/>
      <c r="N202" s="100"/>
      <c r="O202" s="100"/>
      <c r="P202" s="100"/>
      <c r="Q202" s="100"/>
      <c r="R202" s="101" t="n">
        <v>6</v>
      </c>
      <c r="S202" s="101"/>
      <c r="T202" s="143" t="n">
        <f aca="false">SUM(G202:S202)</f>
        <v>56</v>
      </c>
      <c r="U202" s="103"/>
      <c r="V202" s="100"/>
      <c r="W202" s="100"/>
      <c r="X202" s="100" t="n">
        <v>46</v>
      </c>
      <c r="Y202" s="100"/>
      <c r="Z202" s="100"/>
      <c r="AA202" s="100"/>
      <c r="AB202" s="100"/>
      <c r="AC202" s="100"/>
      <c r="AD202" s="100"/>
      <c r="AE202" s="100"/>
      <c r="AF202" s="100" t="n">
        <v>6</v>
      </c>
      <c r="AG202" s="96"/>
      <c r="AH202" s="125" t="n">
        <f aca="false">SUM(U202:AG202)</f>
        <v>52</v>
      </c>
      <c r="AI202" s="101"/>
      <c r="AJ202" s="102" t="n">
        <f aca="false">SUM(T202,AH202,AI202)</f>
        <v>108</v>
      </c>
      <c r="AK202" s="103"/>
      <c r="AL202" s="100"/>
      <c r="AM202" s="104" t="n">
        <f aca="false">SUM(AJ202:AL202)</f>
        <v>108</v>
      </c>
    </row>
    <row r="203" customFormat="false" ht="15.75" hidden="false" customHeight="false" outlineLevel="0" collapsed="false">
      <c r="A203" s="41"/>
      <c r="B203" s="41"/>
      <c r="C203" s="102" t="s">
        <v>64</v>
      </c>
      <c r="D203" s="138" t="n">
        <v>4</v>
      </c>
      <c r="E203" s="160" t="s">
        <v>59</v>
      </c>
      <c r="F203" s="161" t="n">
        <v>1</v>
      </c>
      <c r="G203" s="103"/>
      <c r="H203" s="100" t="n">
        <v>24</v>
      </c>
      <c r="I203" s="100"/>
      <c r="J203" s="100"/>
      <c r="K203" s="100"/>
      <c r="L203" s="100"/>
      <c r="M203" s="100" t="n">
        <v>10</v>
      </c>
      <c r="N203" s="100"/>
      <c r="O203" s="100"/>
      <c r="P203" s="100"/>
      <c r="Q203" s="100"/>
      <c r="R203" s="101" t="n">
        <v>6</v>
      </c>
      <c r="S203" s="101"/>
      <c r="T203" s="143" t="n">
        <f aca="false">SUM(G203:S203)</f>
        <v>40</v>
      </c>
      <c r="U203" s="103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96" t="n">
        <v>9</v>
      </c>
      <c r="AH203" s="125" t="n">
        <f aca="false">SUM(U203:AG203)</f>
        <v>9</v>
      </c>
      <c r="AI203" s="101"/>
      <c r="AJ203" s="102" t="n">
        <f aca="false">SUM(T203,AH203,AI203)</f>
        <v>49</v>
      </c>
      <c r="AK203" s="103"/>
      <c r="AL203" s="100"/>
      <c r="AM203" s="104" t="n">
        <f aca="false">SUM(AJ203:AL203)</f>
        <v>49</v>
      </c>
    </row>
    <row r="204" customFormat="false" ht="15.75" hidden="false" customHeight="false" outlineLevel="0" collapsed="false">
      <c r="A204" s="41"/>
      <c r="B204" s="42"/>
      <c r="C204" s="102" t="s">
        <v>63</v>
      </c>
      <c r="D204" s="138" t="n">
        <v>5</v>
      </c>
      <c r="E204" s="160" t="s">
        <v>59</v>
      </c>
      <c r="F204" s="161" t="n">
        <v>1</v>
      </c>
      <c r="G204" s="100"/>
      <c r="H204" s="100"/>
      <c r="I204" s="100"/>
      <c r="J204" s="100" t="n">
        <v>48</v>
      </c>
      <c r="K204" s="100"/>
      <c r="L204" s="100"/>
      <c r="M204" s="100"/>
      <c r="N204" s="100"/>
      <c r="O204" s="100"/>
      <c r="P204" s="100"/>
      <c r="Q204" s="100"/>
      <c r="R204" s="101"/>
      <c r="S204" s="101"/>
      <c r="T204" s="143" t="n">
        <f aca="false">SUM(G204:S204)</f>
        <v>48</v>
      </c>
      <c r="U204" s="103"/>
      <c r="V204" s="100"/>
      <c r="W204" s="100"/>
      <c r="X204" s="100" t="n">
        <v>24</v>
      </c>
      <c r="Y204" s="100"/>
      <c r="Z204" s="100"/>
      <c r="AA204" s="100"/>
      <c r="AB204" s="100"/>
      <c r="AC204" s="100"/>
      <c r="AD204" s="100"/>
      <c r="AE204" s="100"/>
      <c r="AF204" s="100"/>
      <c r="AG204" s="96"/>
      <c r="AH204" s="125" t="n">
        <f aca="false">SUM(U204:AG204)</f>
        <v>24</v>
      </c>
      <c r="AI204" s="101"/>
      <c r="AJ204" s="102" t="n">
        <f aca="false">SUM(T204,AH204,AI204)</f>
        <v>72</v>
      </c>
      <c r="AK204" s="103"/>
      <c r="AL204" s="100"/>
      <c r="AM204" s="104" t="n">
        <f aca="false">SUM(AJ204:AL204)</f>
        <v>72</v>
      </c>
    </row>
    <row r="205" customFormat="false" ht="15.75" hidden="false" customHeight="false" outlineLevel="0" collapsed="false">
      <c r="A205" s="41"/>
      <c r="B205" s="42"/>
      <c r="C205" s="102" t="s">
        <v>61</v>
      </c>
      <c r="D205" s="138" t="n">
        <v>5</v>
      </c>
      <c r="E205" s="160" t="s">
        <v>59</v>
      </c>
      <c r="F205" s="161" t="n">
        <v>1</v>
      </c>
      <c r="G205" s="100"/>
      <c r="H205" s="100"/>
      <c r="I205" s="100"/>
      <c r="J205" s="100" t="n">
        <v>30</v>
      </c>
      <c r="K205" s="100"/>
      <c r="L205" s="100"/>
      <c r="M205" s="100"/>
      <c r="N205" s="100"/>
      <c r="O205" s="100"/>
      <c r="P205" s="100"/>
      <c r="Q205" s="100"/>
      <c r="R205" s="101"/>
      <c r="S205" s="101"/>
      <c r="T205" s="143" t="n">
        <f aca="false">SUM(G205:S205)</f>
        <v>30</v>
      </c>
      <c r="U205" s="103"/>
      <c r="V205" s="100"/>
      <c r="W205" s="100"/>
      <c r="X205" s="100" t="n">
        <v>48</v>
      </c>
      <c r="Y205" s="100"/>
      <c r="Z205" s="100"/>
      <c r="AA205" s="100"/>
      <c r="AB205" s="100"/>
      <c r="AC205" s="100"/>
      <c r="AD205" s="100"/>
      <c r="AE205" s="100"/>
      <c r="AF205" s="100" t="n">
        <v>6</v>
      </c>
      <c r="AG205" s="96"/>
      <c r="AH205" s="125" t="n">
        <f aca="false">SUM(U205:AG205)</f>
        <v>54</v>
      </c>
      <c r="AI205" s="101"/>
      <c r="AJ205" s="102" t="n">
        <f aca="false">SUM(T205,AH205,AI205)</f>
        <v>84</v>
      </c>
      <c r="AK205" s="103"/>
      <c r="AL205" s="100"/>
      <c r="AM205" s="104" t="n">
        <f aca="false">SUM(AJ205:AL205)</f>
        <v>84</v>
      </c>
    </row>
    <row r="206" customFormat="false" ht="15.75" hidden="false" customHeight="false" outlineLevel="0" collapsed="false">
      <c r="A206" s="41"/>
      <c r="B206" s="42"/>
      <c r="C206" s="102" t="s">
        <v>61</v>
      </c>
      <c r="D206" s="138" t="s">
        <v>39</v>
      </c>
      <c r="E206" s="167" t="s">
        <v>59</v>
      </c>
      <c r="F206" s="168" t="n">
        <v>1</v>
      </c>
      <c r="G206" s="100"/>
      <c r="H206" s="100"/>
      <c r="I206" s="100" t="n">
        <v>8</v>
      </c>
      <c r="J206" s="100"/>
      <c r="K206" s="100"/>
      <c r="L206" s="100"/>
      <c r="M206" s="100"/>
      <c r="N206" s="100"/>
      <c r="O206" s="100"/>
      <c r="P206" s="100"/>
      <c r="Q206" s="100"/>
      <c r="R206" s="101"/>
      <c r="S206" s="101"/>
      <c r="T206" s="143" t="n">
        <f aca="false">SUM(G206:S206)</f>
        <v>8</v>
      </c>
      <c r="U206" s="103"/>
      <c r="V206" s="100" t="n">
        <v>18</v>
      </c>
      <c r="W206" s="100" t="n">
        <v>6</v>
      </c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96"/>
      <c r="AH206" s="125" t="n">
        <f aca="false">SUM(U206:AG206)</f>
        <v>24</v>
      </c>
      <c r="AI206" s="101"/>
      <c r="AJ206" s="102" t="n">
        <f aca="false">SUM(T206,AH206,AI206)</f>
        <v>32</v>
      </c>
      <c r="AK206" s="103"/>
      <c r="AL206" s="100"/>
      <c r="AM206" s="104" t="n">
        <f aca="false">SUM(AJ206:AL206)</f>
        <v>32</v>
      </c>
    </row>
    <row r="207" customFormat="false" ht="15.75" hidden="false" customHeight="false" outlineLevel="0" collapsed="false">
      <c r="A207" s="41"/>
      <c r="B207" s="42"/>
      <c r="C207" s="102" t="s">
        <v>91</v>
      </c>
      <c r="D207" s="138" t="s">
        <v>39</v>
      </c>
      <c r="E207" s="167" t="s">
        <v>59</v>
      </c>
      <c r="F207" s="168" t="n">
        <v>1</v>
      </c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1"/>
      <c r="S207" s="101" t="n">
        <v>9</v>
      </c>
      <c r="T207" s="143" t="n">
        <f aca="false">SUM(G207:S207)</f>
        <v>9</v>
      </c>
      <c r="U207" s="103"/>
      <c r="V207" s="100"/>
      <c r="W207" s="100"/>
      <c r="X207" s="100" t="n">
        <v>12</v>
      </c>
      <c r="Y207" s="100"/>
      <c r="Z207" s="100"/>
      <c r="AA207" s="100"/>
      <c r="AB207" s="100"/>
      <c r="AC207" s="100"/>
      <c r="AD207" s="100"/>
      <c r="AE207" s="100"/>
      <c r="AF207" s="100"/>
      <c r="AG207" s="96"/>
      <c r="AH207" s="125" t="n">
        <f aca="false">SUM(U207:AG207)</f>
        <v>12</v>
      </c>
      <c r="AI207" s="101"/>
      <c r="AJ207" s="102" t="n">
        <f aca="false">SUM(T207,AH207,AI207)</f>
        <v>21</v>
      </c>
      <c r="AK207" s="103"/>
      <c r="AL207" s="100"/>
      <c r="AM207" s="104" t="n">
        <f aca="false">SUM(AJ207:AL207)</f>
        <v>21</v>
      </c>
    </row>
    <row r="208" customFormat="false" ht="15.75" hidden="false" customHeight="false" outlineLevel="0" collapsed="false">
      <c r="A208" s="41"/>
      <c r="B208" s="41"/>
      <c r="C208" s="102" t="s">
        <v>119</v>
      </c>
      <c r="D208" s="149" t="s">
        <v>39</v>
      </c>
      <c r="E208" s="167" t="s">
        <v>59</v>
      </c>
      <c r="F208" s="168" t="n">
        <v>1</v>
      </c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10"/>
      <c r="S208" s="110"/>
      <c r="T208" s="143"/>
      <c r="U208" s="103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96" t="n">
        <v>9</v>
      </c>
      <c r="AH208" s="125" t="n">
        <f aca="false">SUM(U208:AG208)</f>
        <v>9</v>
      </c>
      <c r="AI208" s="101"/>
      <c r="AJ208" s="102" t="n">
        <f aca="false">SUM(T208,AH208,AI208)</f>
        <v>9</v>
      </c>
      <c r="AK208" s="103"/>
      <c r="AL208" s="100"/>
      <c r="AM208" s="104" t="n">
        <f aca="false">SUM(AJ208:AL208)</f>
        <v>9</v>
      </c>
    </row>
    <row r="209" customFormat="false" ht="15.75" hidden="false" customHeight="false" outlineLevel="0" collapsed="false">
      <c r="A209" s="41"/>
      <c r="B209" s="164"/>
      <c r="C209" s="102" t="s">
        <v>71</v>
      </c>
      <c r="D209" s="138" t="s">
        <v>39</v>
      </c>
      <c r="E209" s="167" t="s">
        <v>41</v>
      </c>
      <c r="F209" s="168" t="n">
        <v>1</v>
      </c>
      <c r="G209" s="103"/>
      <c r="H209" s="100" t="n">
        <v>6</v>
      </c>
      <c r="I209" s="100" t="n">
        <v>14</v>
      </c>
      <c r="J209" s="100"/>
      <c r="K209" s="100"/>
      <c r="L209" s="100"/>
      <c r="M209" s="100"/>
      <c r="N209" s="100"/>
      <c r="O209" s="100"/>
      <c r="P209" s="100"/>
      <c r="Q209" s="100"/>
      <c r="R209" s="101"/>
      <c r="S209" s="101" t="n">
        <v>9</v>
      </c>
      <c r="T209" s="143" t="n">
        <f aca="false">SUM(G209:S209)</f>
        <v>29</v>
      </c>
      <c r="U209" s="103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96"/>
      <c r="AH209" s="125"/>
      <c r="AI209" s="101"/>
      <c r="AJ209" s="102" t="n">
        <f aca="false">SUM(T209,AH209,AI209)</f>
        <v>29</v>
      </c>
      <c r="AK209" s="103"/>
      <c r="AL209" s="100"/>
      <c r="AM209" s="104" t="n">
        <f aca="false">SUM(AJ209:AL209)</f>
        <v>29</v>
      </c>
    </row>
    <row r="210" customFormat="false" ht="15.75" hidden="false" customHeight="false" outlineLevel="0" collapsed="false">
      <c r="A210" s="41"/>
      <c r="B210" s="164"/>
      <c r="C210" s="102" t="s">
        <v>71</v>
      </c>
      <c r="D210" s="138" t="s">
        <v>39</v>
      </c>
      <c r="E210" s="167" t="s">
        <v>68</v>
      </c>
      <c r="F210" s="168" t="n">
        <v>1</v>
      </c>
      <c r="G210" s="103"/>
      <c r="H210" s="100" t="n">
        <v>2</v>
      </c>
      <c r="I210" s="100"/>
      <c r="J210" s="100"/>
      <c r="K210" s="100"/>
      <c r="L210" s="100"/>
      <c r="M210" s="100"/>
      <c r="N210" s="100"/>
      <c r="O210" s="100"/>
      <c r="P210" s="100"/>
      <c r="Q210" s="100"/>
      <c r="R210" s="101"/>
      <c r="S210" s="101"/>
      <c r="T210" s="143" t="n">
        <f aca="false">SUM(G210:S210)</f>
        <v>2</v>
      </c>
      <c r="U210" s="103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96"/>
      <c r="AH210" s="125"/>
      <c r="AI210" s="101"/>
      <c r="AJ210" s="102" t="n">
        <f aca="false">SUM(T210,AH210,AI210)</f>
        <v>2</v>
      </c>
      <c r="AK210" s="103"/>
      <c r="AL210" s="100"/>
      <c r="AM210" s="104" t="n">
        <f aca="false">SUM(AJ210:AL210)</f>
        <v>2</v>
      </c>
    </row>
    <row r="211" customFormat="false" ht="15.75" hidden="false" customHeight="false" outlineLevel="0" collapsed="false">
      <c r="A211" s="41"/>
      <c r="B211" s="164"/>
      <c r="C211" s="102" t="s">
        <v>115</v>
      </c>
      <c r="D211" s="149" t="s">
        <v>36</v>
      </c>
      <c r="E211" s="167" t="s">
        <v>34</v>
      </c>
      <c r="F211" s="168" t="n">
        <v>1</v>
      </c>
      <c r="G211" s="103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1"/>
      <c r="S211" s="101"/>
      <c r="T211" s="143"/>
      <c r="U211" s="103"/>
      <c r="V211" s="100" t="n">
        <v>8</v>
      </c>
      <c r="W211" s="100" t="n">
        <v>8</v>
      </c>
      <c r="X211" s="100"/>
      <c r="Y211" s="100"/>
      <c r="Z211" s="100"/>
      <c r="AA211" s="100"/>
      <c r="AB211" s="100"/>
      <c r="AC211" s="100"/>
      <c r="AD211" s="100"/>
      <c r="AE211" s="100"/>
      <c r="AF211" s="100" t="n">
        <v>6</v>
      </c>
      <c r="AG211" s="96"/>
      <c r="AH211" s="125" t="n">
        <f aca="false">SUM(U211:AG211)</f>
        <v>22</v>
      </c>
      <c r="AI211" s="101"/>
      <c r="AJ211" s="102" t="n">
        <f aca="false">SUM(T211,AH211,AI211)</f>
        <v>22</v>
      </c>
      <c r="AK211" s="103"/>
      <c r="AL211" s="100"/>
      <c r="AM211" s="104" t="n">
        <f aca="false">SUM(AJ211:AL211)</f>
        <v>22</v>
      </c>
    </row>
    <row r="212" customFormat="false" ht="15.75" hidden="false" customHeight="false" outlineLevel="0" collapsed="false">
      <c r="A212" s="41"/>
      <c r="B212" s="41"/>
      <c r="C212" s="102" t="s">
        <v>86</v>
      </c>
      <c r="D212" s="138" t="n">
        <v>3</v>
      </c>
      <c r="E212" s="160" t="s">
        <v>59</v>
      </c>
      <c r="F212" s="161" t="n">
        <v>1</v>
      </c>
      <c r="G212" s="103"/>
      <c r="H212" s="100"/>
      <c r="I212" s="100"/>
      <c r="J212" s="100"/>
      <c r="K212" s="100"/>
      <c r="L212" s="100"/>
      <c r="M212" s="100"/>
      <c r="N212" s="100"/>
      <c r="O212" s="100" t="n">
        <v>4</v>
      </c>
      <c r="P212" s="100"/>
      <c r="Q212" s="100"/>
      <c r="R212" s="101"/>
      <c r="S212" s="101"/>
      <c r="T212" s="143" t="n">
        <f aca="false">SUM(G212:S212)</f>
        <v>4</v>
      </c>
      <c r="U212" s="103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96"/>
      <c r="AH212" s="125"/>
      <c r="AI212" s="101"/>
      <c r="AJ212" s="102" t="n">
        <f aca="false">SUM(T212,AH212,AI212)</f>
        <v>4</v>
      </c>
      <c r="AK212" s="103"/>
      <c r="AL212" s="100"/>
      <c r="AM212" s="104" t="n">
        <f aca="false">SUM(AJ212:AL212)</f>
        <v>4</v>
      </c>
    </row>
    <row r="213" customFormat="false" ht="15.75" hidden="false" customHeight="false" outlineLevel="0" collapsed="false">
      <c r="A213" s="41"/>
      <c r="B213" s="42"/>
      <c r="C213" s="102" t="s">
        <v>86</v>
      </c>
      <c r="D213" s="138" t="n">
        <v>3</v>
      </c>
      <c r="E213" s="160" t="s">
        <v>59</v>
      </c>
      <c r="F213" s="161" t="n">
        <v>1</v>
      </c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1"/>
      <c r="S213" s="101"/>
      <c r="T213" s="143"/>
      <c r="U213" s="103"/>
      <c r="V213" s="100"/>
      <c r="W213" s="100"/>
      <c r="X213" s="100"/>
      <c r="Y213" s="100"/>
      <c r="Z213" s="100"/>
      <c r="AA213" s="100"/>
      <c r="AB213" s="100"/>
      <c r="AC213" s="100" t="n">
        <v>6</v>
      </c>
      <c r="AD213" s="100"/>
      <c r="AE213" s="100"/>
      <c r="AF213" s="100"/>
      <c r="AG213" s="96"/>
      <c r="AH213" s="125" t="n">
        <f aca="false">SUM(U213:AG213)</f>
        <v>6</v>
      </c>
      <c r="AI213" s="101"/>
      <c r="AJ213" s="102" t="n">
        <f aca="false">SUM(T213,AH213,AI213)</f>
        <v>6</v>
      </c>
      <c r="AK213" s="103"/>
      <c r="AL213" s="100"/>
      <c r="AM213" s="104" t="n">
        <f aca="false">SUM(AJ213:AL213)</f>
        <v>6</v>
      </c>
    </row>
    <row r="214" customFormat="false" ht="15.75" hidden="false" customHeight="false" outlineLevel="0" collapsed="false">
      <c r="A214" s="41"/>
      <c r="B214" s="42"/>
      <c r="C214" s="102" t="s">
        <v>86</v>
      </c>
      <c r="D214" s="138" t="n">
        <v>4</v>
      </c>
      <c r="E214" s="160" t="s">
        <v>59</v>
      </c>
      <c r="F214" s="161" t="n">
        <v>1</v>
      </c>
      <c r="G214" s="100"/>
      <c r="H214" s="100"/>
      <c r="I214" s="100"/>
      <c r="J214" s="100"/>
      <c r="K214" s="100"/>
      <c r="L214" s="100"/>
      <c r="M214" s="100"/>
      <c r="N214" s="100"/>
      <c r="O214" s="100" t="n">
        <v>16</v>
      </c>
      <c r="P214" s="100"/>
      <c r="Q214" s="100"/>
      <c r="R214" s="101"/>
      <c r="S214" s="101"/>
      <c r="T214" s="143" t="n">
        <f aca="false">SUM(G214:S214)</f>
        <v>16</v>
      </c>
      <c r="U214" s="103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96"/>
      <c r="AH214" s="125"/>
      <c r="AI214" s="101"/>
      <c r="AJ214" s="102" t="n">
        <f aca="false">SUM(T214,AH214,AI214)</f>
        <v>16</v>
      </c>
      <c r="AK214" s="103"/>
      <c r="AL214" s="100"/>
      <c r="AM214" s="104" t="n">
        <f aca="false">SUM(AJ214:AL214)</f>
        <v>16</v>
      </c>
    </row>
    <row r="215" customFormat="false" ht="15.75" hidden="false" customHeight="false" outlineLevel="0" collapsed="false">
      <c r="A215" s="41"/>
      <c r="B215" s="42"/>
      <c r="C215" s="102" t="s">
        <v>86</v>
      </c>
      <c r="D215" s="138" t="n">
        <v>5</v>
      </c>
      <c r="E215" s="160" t="s">
        <v>59</v>
      </c>
      <c r="F215" s="161" t="n">
        <v>1</v>
      </c>
      <c r="G215" s="103"/>
      <c r="H215" s="100"/>
      <c r="I215" s="100"/>
      <c r="J215" s="100"/>
      <c r="K215" s="100"/>
      <c r="L215" s="100"/>
      <c r="M215" s="100"/>
      <c r="N215" s="100"/>
      <c r="O215" s="100" t="n">
        <v>64</v>
      </c>
      <c r="P215" s="100"/>
      <c r="Q215" s="100"/>
      <c r="R215" s="101"/>
      <c r="S215" s="101"/>
      <c r="T215" s="143" t="n">
        <f aca="false">SUM(G215:S215)</f>
        <v>64</v>
      </c>
      <c r="U215" s="103"/>
      <c r="V215" s="100"/>
      <c r="W215" s="100"/>
      <c r="X215" s="100"/>
      <c r="Y215" s="100"/>
      <c r="Z215" s="100"/>
      <c r="AA215" s="100"/>
      <c r="AB215" s="100"/>
      <c r="AC215" s="100" t="n">
        <v>28</v>
      </c>
      <c r="AD215" s="100"/>
      <c r="AE215" s="100"/>
      <c r="AF215" s="100"/>
      <c r="AG215" s="96"/>
      <c r="AH215" s="125" t="n">
        <f aca="false">SUM(U215:AG215)</f>
        <v>28</v>
      </c>
      <c r="AI215" s="101"/>
      <c r="AJ215" s="102" t="n">
        <f aca="false">SUM(T215,AH215,AI215)</f>
        <v>92</v>
      </c>
      <c r="AK215" s="103"/>
      <c r="AL215" s="100"/>
      <c r="AM215" s="104" t="n">
        <f aca="false">SUM(AJ215:AL215)</f>
        <v>92</v>
      </c>
    </row>
    <row r="216" customFormat="false" ht="15.75" hidden="false" customHeight="false" outlineLevel="0" collapsed="false">
      <c r="A216" s="41"/>
      <c r="B216" s="42"/>
      <c r="C216" s="102" t="s">
        <v>86</v>
      </c>
      <c r="D216" s="138" t="s">
        <v>36</v>
      </c>
      <c r="E216" s="160" t="s">
        <v>59</v>
      </c>
      <c r="F216" s="161" t="n">
        <v>1</v>
      </c>
      <c r="G216" s="100"/>
      <c r="H216" s="100"/>
      <c r="I216" s="100"/>
      <c r="J216" s="100"/>
      <c r="K216" s="100"/>
      <c r="L216" s="100"/>
      <c r="M216" s="100"/>
      <c r="N216" s="100"/>
      <c r="O216" s="100" t="n">
        <v>30</v>
      </c>
      <c r="P216" s="100"/>
      <c r="Q216" s="100"/>
      <c r="R216" s="101"/>
      <c r="S216" s="101"/>
      <c r="T216" s="143" t="n">
        <f aca="false">SUM(G216:S216)</f>
        <v>30</v>
      </c>
      <c r="U216" s="103"/>
      <c r="V216" s="100"/>
      <c r="W216" s="100"/>
      <c r="X216" s="100"/>
      <c r="Y216" s="100"/>
      <c r="Z216" s="100"/>
      <c r="AA216" s="100"/>
      <c r="AB216" s="100"/>
      <c r="AC216" s="100" t="n">
        <v>6</v>
      </c>
      <c r="AD216" s="100"/>
      <c r="AE216" s="100"/>
      <c r="AF216" s="100"/>
      <c r="AG216" s="96"/>
      <c r="AH216" s="125" t="n">
        <f aca="false">SUM(U216:AG216)</f>
        <v>6</v>
      </c>
      <c r="AI216" s="101"/>
      <c r="AJ216" s="102" t="n">
        <f aca="false">SUM(T216,AH216,AI216)</f>
        <v>36</v>
      </c>
      <c r="AK216" s="103"/>
      <c r="AL216" s="100"/>
      <c r="AM216" s="104" t="n">
        <f aca="false">SUM(AJ216:AL216)</f>
        <v>36</v>
      </c>
    </row>
    <row r="217" customFormat="false" ht="15.75" hidden="false" customHeight="false" outlineLevel="0" collapsed="false">
      <c r="A217" s="41"/>
      <c r="B217" s="42"/>
      <c r="C217" s="102" t="s">
        <v>86</v>
      </c>
      <c r="D217" s="138" t="s">
        <v>39</v>
      </c>
      <c r="E217" s="160" t="s">
        <v>59</v>
      </c>
      <c r="F217" s="161" t="n">
        <v>1</v>
      </c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1"/>
      <c r="S217" s="101"/>
      <c r="T217" s="143"/>
      <c r="U217" s="103"/>
      <c r="V217" s="100"/>
      <c r="W217" s="100"/>
      <c r="X217" s="100"/>
      <c r="Y217" s="100"/>
      <c r="Z217" s="100"/>
      <c r="AA217" s="100"/>
      <c r="AB217" s="100"/>
      <c r="AC217" s="100" t="n">
        <v>6</v>
      </c>
      <c r="AD217" s="100"/>
      <c r="AE217" s="100"/>
      <c r="AF217" s="100"/>
      <c r="AG217" s="96"/>
      <c r="AH217" s="125" t="n">
        <f aca="false">SUM(U217:AG217)</f>
        <v>6</v>
      </c>
      <c r="AI217" s="101"/>
      <c r="AJ217" s="102" t="n">
        <f aca="false">SUM(T217,AH217,AI217)</f>
        <v>6</v>
      </c>
      <c r="AK217" s="103"/>
      <c r="AL217" s="100"/>
      <c r="AM217" s="104" t="n">
        <f aca="false">SUM(AJ217:AL217)</f>
        <v>6</v>
      </c>
    </row>
    <row r="218" customFormat="false" ht="15.75" hidden="false" customHeight="false" outlineLevel="0" collapsed="false">
      <c r="A218" s="41"/>
      <c r="B218" s="164"/>
      <c r="C218" s="102" t="s">
        <v>86</v>
      </c>
      <c r="D218" s="149" t="s">
        <v>33</v>
      </c>
      <c r="E218" s="167" t="s">
        <v>84</v>
      </c>
      <c r="F218" s="168" t="n">
        <v>1</v>
      </c>
      <c r="G218" s="103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1"/>
      <c r="S218" s="101"/>
      <c r="T218" s="143"/>
      <c r="U218" s="103"/>
      <c r="V218" s="100"/>
      <c r="W218" s="100"/>
      <c r="X218" s="100"/>
      <c r="Y218" s="100"/>
      <c r="Z218" s="100"/>
      <c r="AA218" s="100"/>
      <c r="AB218" s="100"/>
      <c r="AC218" s="100" t="n">
        <v>28</v>
      </c>
      <c r="AD218" s="100"/>
      <c r="AE218" s="100"/>
      <c r="AF218" s="100"/>
      <c r="AG218" s="96"/>
      <c r="AH218" s="125" t="n">
        <f aca="false">SUM(U218:AG218)</f>
        <v>28</v>
      </c>
      <c r="AI218" s="101"/>
      <c r="AJ218" s="102" t="n">
        <f aca="false">SUM(T218,AH218,AI218)</f>
        <v>28</v>
      </c>
      <c r="AK218" s="103"/>
      <c r="AL218" s="100"/>
      <c r="AM218" s="104" t="n">
        <f aca="false">SUM(AJ218:AL218)</f>
        <v>28</v>
      </c>
    </row>
    <row r="219" customFormat="false" ht="15.75" hidden="false" customHeight="false" outlineLevel="0" collapsed="false">
      <c r="A219" s="41"/>
      <c r="B219" s="42"/>
      <c r="C219" s="102" t="s">
        <v>27</v>
      </c>
      <c r="D219" s="138" t="n">
        <v>3</v>
      </c>
      <c r="E219" s="160" t="s">
        <v>59</v>
      </c>
      <c r="F219" s="161" t="n">
        <v>1</v>
      </c>
      <c r="G219" s="103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1"/>
      <c r="S219" s="101"/>
      <c r="T219" s="143"/>
      <c r="U219" s="103"/>
      <c r="V219" s="100"/>
      <c r="W219" s="100"/>
      <c r="X219" s="100"/>
      <c r="Y219" s="100"/>
      <c r="Z219" s="100"/>
      <c r="AA219" s="100"/>
      <c r="AB219" s="100"/>
      <c r="AC219" s="100"/>
      <c r="AD219" s="100" t="n">
        <v>3</v>
      </c>
      <c r="AE219" s="100"/>
      <c r="AF219" s="100"/>
      <c r="AG219" s="96"/>
      <c r="AH219" s="125" t="n">
        <f aca="false">SUM(U219:AG219)</f>
        <v>3</v>
      </c>
      <c r="AI219" s="101"/>
      <c r="AJ219" s="102" t="n">
        <f aca="false">SUM(T219,AH219,AI219)</f>
        <v>3</v>
      </c>
      <c r="AK219" s="103"/>
      <c r="AL219" s="100"/>
      <c r="AM219" s="104" t="n">
        <f aca="false">SUM(AJ219:AL219)</f>
        <v>3</v>
      </c>
    </row>
    <row r="220" customFormat="false" ht="15.75" hidden="false" customHeight="false" outlineLevel="0" collapsed="false">
      <c r="A220" s="41"/>
      <c r="B220" s="41"/>
      <c r="C220" s="102" t="s">
        <v>27</v>
      </c>
      <c r="D220" s="138" t="n">
        <v>4</v>
      </c>
      <c r="E220" s="160" t="s">
        <v>59</v>
      </c>
      <c r="F220" s="161" t="n">
        <v>1</v>
      </c>
      <c r="G220" s="103"/>
      <c r="H220" s="100"/>
      <c r="I220" s="100"/>
      <c r="J220" s="100"/>
      <c r="K220" s="100"/>
      <c r="L220" s="100"/>
      <c r="M220" s="100"/>
      <c r="N220" s="100"/>
      <c r="O220" s="100"/>
      <c r="P220" s="100" t="n">
        <v>2</v>
      </c>
      <c r="Q220" s="100"/>
      <c r="R220" s="101"/>
      <c r="S220" s="101"/>
      <c r="T220" s="143" t="n">
        <f aca="false">SUM(G220:S220)</f>
        <v>2</v>
      </c>
      <c r="U220" s="103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96"/>
      <c r="AH220" s="125"/>
      <c r="AI220" s="101"/>
      <c r="AJ220" s="102" t="n">
        <f aca="false">SUM(T220,AH220,AI220)</f>
        <v>2</v>
      </c>
      <c r="AK220" s="103"/>
      <c r="AL220" s="100"/>
      <c r="AM220" s="104" t="n">
        <f aca="false">SUM(AJ220:AL220)</f>
        <v>2</v>
      </c>
    </row>
    <row r="221" customFormat="false" ht="15.75" hidden="false" customHeight="false" outlineLevel="0" collapsed="false">
      <c r="A221" s="41"/>
      <c r="B221" s="42"/>
      <c r="C221" s="102" t="s">
        <v>27</v>
      </c>
      <c r="D221" s="138" t="n">
        <v>5</v>
      </c>
      <c r="E221" s="160" t="s">
        <v>59</v>
      </c>
      <c r="F221" s="161" t="n">
        <v>1</v>
      </c>
      <c r="G221" s="103"/>
      <c r="H221" s="100"/>
      <c r="I221" s="100"/>
      <c r="J221" s="100"/>
      <c r="K221" s="100"/>
      <c r="L221" s="100"/>
      <c r="M221" s="100"/>
      <c r="N221" s="100"/>
      <c r="O221" s="100"/>
      <c r="P221" s="100" t="n">
        <v>17</v>
      </c>
      <c r="Q221" s="100"/>
      <c r="R221" s="101"/>
      <c r="S221" s="101"/>
      <c r="T221" s="143" t="n">
        <f aca="false">SUM(G221:S221)</f>
        <v>17</v>
      </c>
      <c r="U221" s="103"/>
      <c r="V221" s="100"/>
      <c r="W221" s="100"/>
      <c r="X221" s="100"/>
      <c r="Y221" s="100"/>
      <c r="Z221" s="100"/>
      <c r="AA221" s="100"/>
      <c r="AB221" s="100"/>
      <c r="AC221" s="100"/>
      <c r="AD221" s="100" t="n">
        <v>14</v>
      </c>
      <c r="AE221" s="100"/>
      <c r="AF221" s="100"/>
      <c r="AG221" s="96"/>
      <c r="AH221" s="125" t="n">
        <f aca="false">SUM(U221:AG221)</f>
        <v>14</v>
      </c>
      <c r="AI221" s="101"/>
      <c r="AJ221" s="102" t="n">
        <f aca="false">SUM(T221,AH221,AI221)</f>
        <v>31</v>
      </c>
      <c r="AK221" s="103"/>
      <c r="AL221" s="100"/>
      <c r="AM221" s="104" t="n">
        <f aca="false">SUM(AJ221:AL221)</f>
        <v>31</v>
      </c>
    </row>
    <row r="222" customFormat="false" ht="15.75" hidden="false" customHeight="false" outlineLevel="0" collapsed="false">
      <c r="A222" s="41"/>
      <c r="B222" s="42"/>
      <c r="C222" s="102" t="s">
        <v>27</v>
      </c>
      <c r="D222" s="138" t="s">
        <v>36</v>
      </c>
      <c r="E222" s="160" t="s">
        <v>59</v>
      </c>
      <c r="F222" s="161" t="n">
        <v>1</v>
      </c>
      <c r="G222" s="100"/>
      <c r="H222" s="100"/>
      <c r="I222" s="100"/>
      <c r="J222" s="100"/>
      <c r="K222" s="100"/>
      <c r="L222" s="100"/>
      <c r="M222" s="100"/>
      <c r="N222" s="100"/>
      <c r="O222" s="100"/>
      <c r="P222" s="100" t="n">
        <v>17</v>
      </c>
      <c r="Q222" s="100"/>
      <c r="R222" s="101"/>
      <c r="S222" s="101"/>
      <c r="T222" s="143" t="n">
        <f aca="false">SUM(G222:S222)</f>
        <v>17</v>
      </c>
      <c r="U222" s="103"/>
      <c r="V222" s="100"/>
      <c r="W222" s="100"/>
      <c r="X222" s="100"/>
      <c r="Y222" s="100"/>
      <c r="Z222" s="100"/>
      <c r="AA222" s="100"/>
      <c r="AB222" s="100"/>
      <c r="AC222" s="100"/>
      <c r="AD222" s="100" t="n">
        <v>3</v>
      </c>
      <c r="AE222" s="100"/>
      <c r="AF222" s="100"/>
      <c r="AG222" s="96"/>
      <c r="AH222" s="125" t="n">
        <f aca="false">SUM(U222:AG222)</f>
        <v>3</v>
      </c>
      <c r="AI222" s="101"/>
      <c r="AJ222" s="102" t="n">
        <f aca="false">SUM(T222,AH222,AI222)</f>
        <v>20</v>
      </c>
      <c r="AK222" s="103"/>
      <c r="AL222" s="100"/>
      <c r="AM222" s="104" t="n">
        <f aca="false">SUM(AJ222:AL222)</f>
        <v>20</v>
      </c>
    </row>
    <row r="223" customFormat="false" ht="15.75" hidden="false" customHeight="false" outlineLevel="0" collapsed="false">
      <c r="A223" s="41"/>
      <c r="B223" s="42"/>
      <c r="C223" s="102" t="s">
        <v>27</v>
      </c>
      <c r="D223" s="138" t="s">
        <v>39</v>
      </c>
      <c r="E223" s="160" t="s">
        <v>59</v>
      </c>
      <c r="F223" s="161" t="n">
        <v>1</v>
      </c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1"/>
      <c r="S223" s="101"/>
      <c r="T223" s="143"/>
      <c r="U223" s="103"/>
      <c r="V223" s="100"/>
      <c r="W223" s="100"/>
      <c r="X223" s="100"/>
      <c r="Y223" s="100"/>
      <c r="Z223" s="100"/>
      <c r="AA223" s="100"/>
      <c r="AB223" s="100"/>
      <c r="AC223" s="100"/>
      <c r="AD223" s="100" t="n">
        <v>3</v>
      </c>
      <c r="AE223" s="100"/>
      <c r="AF223" s="100"/>
      <c r="AG223" s="96"/>
      <c r="AH223" s="125" t="n">
        <f aca="false">SUM(U223:AG223)</f>
        <v>3</v>
      </c>
      <c r="AI223" s="101"/>
      <c r="AJ223" s="102" t="n">
        <f aca="false">SUM(T223,AH223,AI223)</f>
        <v>3</v>
      </c>
      <c r="AK223" s="103"/>
      <c r="AL223" s="100"/>
      <c r="AM223" s="104" t="n">
        <f aca="false">SUM(AJ223:AL223)</f>
        <v>3</v>
      </c>
    </row>
    <row r="224" customFormat="false" ht="15.75" hidden="false" customHeight="false" outlineLevel="0" collapsed="false">
      <c r="A224" s="41"/>
      <c r="B224" s="164"/>
      <c r="C224" s="102" t="s">
        <v>27</v>
      </c>
      <c r="D224" s="149" t="s">
        <v>33</v>
      </c>
      <c r="E224" s="167" t="s">
        <v>84</v>
      </c>
      <c r="F224" s="168" t="n">
        <v>1</v>
      </c>
      <c r="G224" s="103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1"/>
      <c r="S224" s="101"/>
      <c r="T224" s="143"/>
      <c r="U224" s="103"/>
      <c r="V224" s="100"/>
      <c r="W224" s="100"/>
      <c r="X224" s="100"/>
      <c r="Y224" s="100"/>
      <c r="Z224" s="100"/>
      <c r="AA224" s="100"/>
      <c r="AB224" s="100"/>
      <c r="AC224" s="100"/>
      <c r="AD224" s="100" t="n">
        <v>14</v>
      </c>
      <c r="AE224" s="100"/>
      <c r="AF224" s="100"/>
      <c r="AG224" s="96"/>
      <c r="AH224" s="125" t="n">
        <f aca="false">SUM(U224:AG224)</f>
        <v>14</v>
      </c>
      <c r="AI224" s="101"/>
      <c r="AJ224" s="102" t="n">
        <f aca="false">SUM(T224,AH224,AI224)</f>
        <v>14</v>
      </c>
      <c r="AK224" s="103"/>
      <c r="AL224" s="100"/>
      <c r="AM224" s="104" t="n">
        <f aca="false">SUM(AJ224:AL224)</f>
        <v>14</v>
      </c>
    </row>
    <row r="225" customFormat="false" ht="16.5" hidden="false" customHeight="false" outlineLevel="0" collapsed="false">
      <c r="A225" s="41"/>
      <c r="B225" s="164"/>
      <c r="C225" s="128" t="s">
        <v>122</v>
      </c>
      <c r="D225" s="149" t="n">
        <v>5</v>
      </c>
      <c r="E225" s="167" t="s">
        <v>59</v>
      </c>
      <c r="F225" s="168" t="n">
        <v>1</v>
      </c>
      <c r="G225" s="103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1"/>
      <c r="S225" s="101"/>
      <c r="T225" s="143"/>
      <c r="U225" s="103"/>
      <c r="V225" s="100"/>
      <c r="W225" s="100"/>
      <c r="X225" s="100"/>
      <c r="Y225" s="100"/>
      <c r="Z225" s="100"/>
      <c r="AA225" s="100"/>
      <c r="AB225" s="100"/>
      <c r="AC225" s="100"/>
      <c r="AD225" s="100" t="n">
        <v>3</v>
      </c>
      <c r="AE225" s="100"/>
      <c r="AF225" s="100"/>
      <c r="AG225" s="96"/>
      <c r="AH225" s="125" t="n">
        <f aca="false">SUM(U225:AG225)</f>
        <v>3</v>
      </c>
      <c r="AI225" s="101"/>
      <c r="AJ225" s="102" t="n">
        <f aca="false">SUM(T225,AH225,AI225)</f>
        <v>3</v>
      </c>
      <c r="AK225" s="103"/>
      <c r="AL225" s="100" t="n">
        <v>144</v>
      </c>
      <c r="AM225" s="104" t="n">
        <f aca="false">SUM(AJ225:AL225)</f>
        <v>147</v>
      </c>
    </row>
    <row r="226" customFormat="false" ht="21" hidden="false" customHeight="true" outlineLevel="0" collapsed="false">
      <c r="A226" s="63"/>
      <c r="B226" s="116" t="s">
        <v>42</v>
      </c>
      <c r="C226" s="169"/>
      <c r="D226" s="117"/>
      <c r="E226" s="117"/>
      <c r="F226" s="157"/>
      <c r="G226" s="69"/>
      <c r="H226" s="69" t="n">
        <f aca="false">SUM(H198:H225)</f>
        <v>34</v>
      </c>
      <c r="I226" s="69" t="n">
        <f aca="false">SUM(I198:I225)</f>
        <v>22</v>
      </c>
      <c r="J226" s="69" t="n">
        <f aca="false">SUM(J198:J225)</f>
        <v>140</v>
      </c>
      <c r="K226" s="69"/>
      <c r="L226" s="69"/>
      <c r="M226" s="69" t="n">
        <f aca="false">SUM(M198:M225)</f>
        <v>12</v>
      </c>
      <c r="N226" s="69"/>
      <c r="O226" s="69" t="n">
        <f aca="false">SUM(O198:O225)</f>
        <v>114</v>
      </c>
      <c r="P226" s="69" t="n">
        <f aca="false">SUM(P198:P225)</f>
        <v>36</v>
      </c>
      <c r="Q226" s="69"/>
      <c r="R226" s="69" t="n">
        <f aca="false">SUM(R198:R225)</f>
        <v>18</v>
      </c>
      <c r="S226" s="69" t="n">
        <f aca="false">SUM(S198:S225)</f>
        <v>27</v>
      </c>
      <c r="T226" s="71" t="n">
        <f aca="false">SUM(T198:T225)</f>
        <v>403</v>
      </c>
      <c r="U226" s="69"/>
      <c r="V226" s="69" t="n">
        <f aca="false">SUM(V198:V225)</f>
        <v>26</v>
      </c>
      <c r="W226" s="69" t="n">
        <f aca="false">SUM(W198:W225)</f>
        <v>14</v>
      </c>
      <c r="X226" s="69" t="n">
        <f aca="false">SUM(X198:X225)</f>
        <v>134</v>
      </c>
      <c r="Y226" s="69"/>
      <c r="Z226" s="69"/>
      <c r="AA226" s="69"/>
      <c r="AB226" s="69"/>
      <c r="AC226" s="69" t="n">
        <f aca="false">SUM(AC198:AC225)</f>
        <v>74</v>
      </c>
      <c r="AD226" s="69" t="n">
        <f aca="false">SUM(AD198:AD225)</f>
        <v>40</v>
      </c>
      <c r="AE226" s="69"/>
      <c r="AF226" s="69" t="n">
        <f aca="false">SUM(AF198:AF225)</f>
        <v>30</v>
      </c>
      <c r="AG226" s="69" t="n">
        <f aca="false">SUM(AG198:AG225)</f>
        <v>27</v>
      </c>
      <c r="AH226" s="71" t="n">
        <f aca="false">SUM(AH198:AH225)</f>
        <v>345</v>
      </c>
      <c r="AI226" s="73"/>
      <c r="AJ226" s="71" t="n">
        <f aca="false">SUM(AJ198:AJ225)</f>
        <v>748</v>
      </c>
      <c r="AK226" s="72"/>
      <c r="AL226" s="71" t="n">
        <f aca="false">SUM(AL198:AL225)</f>
        <v>144</v>
      </c>
      <c r="AM226" s="71" t="n">
        <f aca="false">SUM(AM198:AM225)</f>
        <v>892</v>
      </c>
    </row>
    <row r="227" customFormat="false" ht="15.75" hidden="false" customHeight="false" outlineLevel="0" collapsed="false">
      <c r="A227" s="41" t="n">
        <v>10</v>
      </c>
      <c r="B227" s="42" t="s">
        <v>31</v>
      </c>
      <c r="C227" s="159" t="s">
        <v>111</v>
      </c>
      <c r="D227" s="126" t="n">
        <v>1</v>
      </c>
      <c r="E227" s="107" t="s">
        <v>41</v>
      </c>
      <c r="F227" s="127" t="n">
        <v>1</v>
      </c>
      <c r="G227" s="103"/>
      <c r="H227" s="100" t="n">
        <v>4</v>
      </c>
      <c r="I227" s="100" t="n">
        <v>16</v>
      </c>
      <c r="J227" s="100"/>
      <c r="K227" s="100"/>
      <c r="L227" s="100"/>
      <c r="M227" s="100"/>
      <c r="N227" s="100"/>
      <c r="O227" s="100"/>
      <c r="P227" s="100"/>
      <c r="Q227" s="100"/>
      <c r="R227" s="101" t="n">
        <v>6</v>
      </c>
      <c r="S227" s="101"/>
      <c r="T227" s="143" t="n">
        <f aca="false">SUM(G227:S227)</f>
        <v>26</v>
      </c>
      <c r="U227" s="103"/>
      <c r="V227" s="100" t="n">
        <v>2</v>
      </c>
      <c r="W227" s="100" t="n">
        <v>6</v>
      </c>
      <c r="X227" s="100"/>
      <c r="Y227" s="100"/>
      <c r="Z227" s="100"/>
      <c r="AA227" s="100"/>
      <c r="AB227" s="100" t="n">
        <v>2</v>
      </c>
      <c r="AC227" s="100"/>
      <c r="AD227" s="100"/>
      <c r="AE227" s="100"/>
      <c r="AF227" s="100"/>
      <c r="AG227" s="96" t="n">
        <v>9</v>
      </c>
      <c r="AH227" s="125" t="n">
        <f aca="false">SUM(U227:AG227)</f>
        <v>19</v>
      </c>
      <c r="AI227" s="101"/>
      <c r="AJ227" s="102" t="n">
        <f aca="false">SUM(T227,AH227,AI227)</f>
        <v>45</v>
      </c>
      <c r="AK227" s="103"/>
      <c r="AL227" s="100"/>
      <c r="AM227" s="104" t="n">
        <f aca="false">SUM(AJ227:AL227)</f>
        <v>45</v>
      </c>
    </row>
    <row r="228" customFormat="false" ht="15.75" hidden="false" customHeight="false" outlineLevel="0" collapsed="false">
      <c r="A228" s="41"/>
      <c r="B228" s="42" t="s">
        <v>74</v>
      </c>
      <c r="C228" s="102" t="s">
        <v>123</v>
      </c>
      <c r="D228" s="126" t="n">
        <v>1</v>
      </c>
      <c r="E228" s="107" t="s">
        <v>41</v>
      </c>
      <c r="F228" s="127" t="n">
        <v>1</v>
      </c>
      <c r="G228" s="103"/>
      <c r="H228" s="100" t="n">
        <v>6</v>
      </c>
      <c r="I228" s="100"/>
      <c r="J228" s="100"/>
      <c r="K228" s="100"/>
      <c r="L228" s="100"/>
      <c r="M228" s="100"/>
      <c r="N228" s="100" t="n">
        <v>2</v>
      </c>
      <c r="O228" s="100"/>
      <c r="P228" s="100"/>
      <c r="Q228" s="100"/>
      <c r="R228" s="101"/>
      <c r="S228" s="101"/>
      <c r="T228" s="143" t="n">
        <f aca="false">SUM(G228:S228)</f>
        <v>8</v>
      </c>
      <c r="U228" s="103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96"/>
      <c r="AH228" s="125"/>
      <c r="AI228" s="101"/>
      <c r="AJ228" s="102" t="n">
        <f aca="false">SUM(T228,AH228,AI228)</f>
        <v>8</v>
      </c>
      <c r="AK228" s="103"/>
      <c r="AL228" s="100"/>
      <c r="AM228" s="104" t="n">
        <f aca="false">SUM(AJ228:AL228)</f>
        <v>8</v>
      </c>
    </row>
    <row r="229" customFormat="false" ht="15.75" hidden="false" customHeight="false" outlineLevel="0" collapsed="false">
      <c r="A229" s="41"/>
      <c r="B229" s="42" t="s">
        <v>124</v>
      </c>
      <c r="C229" s="102" t="s">
        <v>71</v>
      </c>
      <c r="D229" s="126" t="n">
        <v>2</v>
      </c>
      <c r="E229" s="107" t="s">
        <v>41</v>
      </c>
      <c r="F229" s="127" t="n">
        <v>1</v>
      </c>
      <c r="G229" s="103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1"/>
      <c r="S229" s="101"/>
      <c r="T229" s="143"/>
      <c r="U229" s="103"/>
      <c r="V229" s="100"/>
      <c r="W229" s="100"/>
      <c r="X229" s="100" t="n">
        <v>10</v>
      </c>
      <c r="Y229" s="100"/>
      <c r="Z229" s="100"/>
      <c r="AA229" s="100"/>
      <c r="AB229" s="100"/>
      <c r="AC229" s="100"/>
      <c r="AD229" s="100"/>
      <c r="AE229" s="100"/>
      <c r="AF229" s="100"/>
      <c r="AG229" s="96"/>
      <c r="AH229" s="125" t="n">
        <f aca="false">SUM(U229:AG229)</f>
        <v>10</v>
      </c>
      <c r="AI229" s="101"/>
      <c r="AJ229" s="102" t="n">
        <f aca="false">SUM(T229,AH229,AI229)</f>
        <v>10</v>
      </c>
      <c r="AK229" s="103"/>
      <c r="AL229" s="100"/>
      <c r="AM229" s="104" t="n">
        <f aca="false">SUM(AJ229:AL229)</f>
        <v>10</v>
      </c>
    </row>
    <row r="230" customFormat="false" ht="15.75" hidden="false" customHeight="false" outlineLevel="0" collapsed="false">
      <c r="A230" s="41"/>
      <c r="B230" s="42"/>
      <c r="C230" s="102" t="s">
        <v>71</v>
      </c>
      <c r="D230" s="126" t="s">
        <v>39</v>
      </c>
      <c r="E230" s="107" t="s">
        <v>41</v>
      </c>
      <c r="F230" s="127" t="n">
        <v>1</v>
      </c>
      <c r="G230" s="100" t="n">
        <v>2</v>
      </c>
      <c r="H230" s="100" t="n">
        <v>34</v>
      </c>
      <c r="I230" s="100"/>
      <c r="J230" s="100"/>
      <c r="K230" s="100"/>
      <c r="L230" s="100"/>
      <c r="M230" s="100"/>
      <c r="N230" s="100"/>
      <c r="O230" s="100"/>
      <c r="P230" s="100"/>
      <c r="Q230" s="100"/>
      <c r="R230" s="101"/>
      <c r="S230" s="101" t="n">
        <v>9</v>
      </c>
      <c r="T230" s="143" t="n">
        <f aca="false">SUM(G230:S230)</f>
        <v>45</v>
      </c>
      <c r="U230" s="103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96"/>
      <c r="AH230" s="125"/>
      <c r="AI230" s="101"/>
      <c r="AJ230" s="102" t="n">
        <f aca="false">SUM(T230,AH230,AI230)</f>
        <v>45</v>
      </c>
      <c r="AK230" s="103"/>
      <c r="AL230" s="100"/>
      <c r="AM230" s="104" t="n">
        <f aca="false">SUM(AJ230:AL230)</f>
        <v>45</v>
      </c>
    </row>
    <row r="231" customFormat="false" ht="15.75" hidden="false" customHeight="false" outlineLevel="0" collapsed="false">
      <c r="A231" s="41"/>
      <c r="B231" s="42"/>
      <c r="C231" s="102" t="s">
        <v>114</v>
      </c>
      <c r="D231" s="126" t="s">
        <v>39</v>
      </c>
      <c r="E231" s="107" t="s">
        <v>41</v>
      </c>
      <c r="F231" s="127" t="n">
        <v>1</v>
      </c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1"/>
      <c r="S231" s="101"/>
      <c r="T231" s="143"/>
      <c r="U231" s="103"/>
      <c r="V231" s="100" t="n">
        <v>16</v>
      </c>
      <c r="W231" s="100" t="n">
        <v>6</v>
      </c>
      <c r="X231" s="100"/>
      <c r="Y231" s="100"/>
      <c r="Z231" s="100"/>
      <c r="AA231" s="100" t="n">
        <v>2</v>
      </c>
      <c r="AB231" s="100"/>
      <c r="AC231" s="100"/>
      <c r="AD231" s="100"/>
      <c r="AE231" s="100"/>
      <c r="AF231" s="100"/>
      <c r="AG231" s="96" t="n">
        <v>9</v>
      </c>
      <c r="AH231" s="125" t="n">
        <f aca="false">SUM(U231:AG231)</f>
        <v>33</v>
      </c>
      <c r="AI231" s="101"/>
      <c r="AJ231" s="102" t="n">
        <f aca="false">SUM(T231,AH231,AI231)</f>
        <v>33</v>
      </c>
      <c r="AK231" s="103"/>
      <c r="AL231" s="100"/>
      <c r="AM231" s="104" t="n">
        <f aca="false">SUM(AJ231:AL231)</f>
        <v>33</v>
      </c>
    </row>
    <row r="232" customFormat="false" ht="15.75" hidden="false" customHeight="false" outlineLevel="0" collapsed="false">
      <c r="A232" s="41"/>
      <c r="B232" s="164"/>
      <c r="C232" s="102" t="s">
        <v>95</v>
      </c>
      <c r="D232" s="124" t="s">
        <v>33</v>
      </c>
      <c r="E232" s="170" t="s">
        <v>68</v>
      </c>
      <c r="F232" s="163" t="n">
        <v>1</v>
      </c>
      <c r="G232" s="103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1"/>
      <c r="S232" s="101"/>
      <c r="T232" s="143"/>
      <c r="U232" s="103"/>
      <c r="V232" s="100" t="n">
        <v>14</v>
      </c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 t="n">
        <v>6</v>
      </c>
      <c r="AG232" s="96"/>
      <c r="AH232" s="125" t="n">
        <f aca="false">SUM(U232:AG232)</f>
        <v>20</v>
      </c>
      <c r="AI232" s="101"/>
      <c r="AJ232" s="102" t="n">
        <f aca="false">SUM(T232,AH232,AI232)</f>
        <v>20</v>
      </c>
      <c r="AK232" s="103"/>
      <c r="AL232" s="100"/>
      <c r="AM232" s="104" t="n">
        <f aca="false">SUM(AJ232:AL232)</f>
        <v>20</v>
      </c>
    </row>
    <row r="233" customFormat="false" ht="15.75" hidden="false" customHeight="false" outlineLevel="0" collapsed="false">
      <c r="A233" s="41"/>
      <c r="B233" s="164"/>
      <c r="C233" s="102" t="s">
        <v>111</v>
      </c>
      <c r="D233" s="126" t="s">
        <v>33</v>
      </c>
      <c r="E233" s="107" t="s">
        <v>68</v>
      </c>
      <c r="F233" s="127" t="n">
        <v>1</v>
      </c>
      <c r="G233" s="103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1"/>
      <c r="S233" s="101"/>
      <c r="T233" s="143"/>
      <c r="U233" s="103"/>
      <c r="V233" s="100" t="n">
        <v>2</v>
      </c>
      <c r="W233" s="100" t="n">
        <v>14</v>
      </c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96"/>
      <c r="AH233" s="125" t="n">
        <f aca="false">SUM(U233:AG233)</f>
        <v>16</v>
      </c>
      <c r="AI233" s="101"/>
      <c r="AJ233" s="102" t="n">
        <f aca="false">SUM(T233,AH233,AI233)</f>
        <v>16</v>
      </c>
      <c r="AK233" s="103"/>
      <c r="AL233" s="100"/>
      <c r="AM233" s="104" t="n">
        <f aca="false">SUM(AJ233:AL233)</f>
        <v>16</v>
      </c>
    </row>
    <row r="234" customFormat="false" ht="15.75" hidden="false" customHeight="false" outlineLevel="0" collapsed="false">
      <c r="A234" s="41"/>
      <c r="B234" s="42"/>
      <c r="C234" s="102" t="s">
        <v>125</v>
      </c>
      <c r="D234" s="126" t="s">
        <v>36</v>
      </c>
      <c r="E234" s="107" t="s">
        <v>68</v>
      </c>
      <c r="F234" s="127" t="n">
        <v>1</v>
      </c>
      <c r="G234" s="100"/>
      <c r="H234" s="100" t="n">
        <v>12</v>
      </c>
      <c r="I234" s="100" t="n">
        <v>6</v>
      </c>
      <c r="J234" s="100"/>
      <c r="K234" s="100"/>
      <c r="L234" s="100"/>
      <c r="M234" s="100"/>
      <c r="N234" s="100"/>
      <c r="O234" s="100"/>
      <c r="P234" s="100"/>
      <c r="Q234" s="100"/>
      <c r="R234" s="101" t="n">
        <v>6</v>
      </c>
      <c r="S234" s="101"/>
      <c r="T234" s="143" t="n">
        <f aca="false">SUM(G234:S234)</f>
        <v>24</v>
      </c>
      <c r="U234" s="103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96"/>
      <c r="AH234" s="125"/>
      <c r="AI234" s="101"/>
      <c r="AJ234" s="102" t="n">
        <f aca="false">SUM(T234,AH234,AI234)</f>
        <v>24</v>
      </c>
      <c r="AK234" s="103"/>
      <c r="AL234" s="100"/>
      <c r="AM234" s="104" t="n">
        <f aca="false">SUM(AJ234:AL234)</f>
        <v>24</v>
      </c>
    </row>
    <row r="235" customFormat="false" ht="15.75" hidden="false" customHeight="false" outlineLevel="0" collapsed="false">
      <c r="A235" s="41"/>
      <c r="B235" s="41"/>
      <c r="C235" s="102" t="s">
        <v>71</v>
      </c>
      <c r="D235" s="126" t="s">
        <v>39</v>
      </c>
      <c r="E235" s="107" t="s">
        <v>68</v>
      </c>
      <c r="F235" s="127" t="n">
        <v>1</v>
      </c>
      <c r="G235" s="100" t="n">
        <v>2</v>
      </c>
      <c r="H235" s="100" t="n">
        <v>16</v>
      </c>
      <c r="I235" s="100"/>
      <c r="J235" s="100"/>
      <c r="K235" s="100"/>
      <c r="L235" s="100"/>
      <c r="M235" s="100"/>
      <c r="N235" s="100"/>
      <c r="O235" s="100"/>
      <c r="P235" s="100"/>
      <c r="Q235" s="100"/>
      <c r="R235" s="101"/>
      <c r="S235" s="101" t="n">
        <v>9</v>
      </c>
      <c r="T235" s="143" t="n">
        <f aca="false">SUM(G235:S235)</f>
        <v>27</v>
      </c>
      <c r="U235" s="103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96"/>
      <c r="AH235" s="125"/>
      <c r="AI235" s="101"/>
      <c r="AJ235" s="102" t="n">
        <f aca="false">SUM(T235,AH235,AI235)</f>
        <v>27</v>
      </c>
      <c r="AK235" s="103"/>
      <c r="AL235" s="100"/>
      <c r="AM235" s="104" t="n">
        <f aca="false">SUM(AJ235:AL235)</f>
        <v>27</v>
      </c>
    </row>
    <row r="236" customFormat="false" ht="15.75" hidden="false" customHeight="false" outlineLevel="0" collapsed="false">
      <c r="A236" s="41"/>
      <c r="B236" s="164"/>
      <c r="C236" s="102" t="s">
        <v>105</v>
      </c>
      <c r="D236" s="124" t="s">
        <v>39</v>
      </c>
      <c r="E236" s="170" t="s">
        <v>68</v>
      </c>
      <c r="F236" s="163" t="n">
        <v>1</v>
      </c>
      <c r="G236" s="103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1"/>
      <c r="S236" s="101"/>
      <c r="T236" s="143"/>
      <c r="U236" s="103"/>
      <c r="V236" s="100" t="n">
        <v>8</v>
      </c>
      <c r="W236" s="100" t="n">
        <v>16</v>
      </c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96" t="n">
        <v>9</v>
      </c>
      <c r="AH236" s="125" t="n">
        <f aca="false">SUM(U236:AG236)</f>
        <v>33</v>
      </c>
      <c r="AI236" s="101"/>
      <c r="AJ236" s="102" t="n">
        <f aca="false">SUM(T236,AH236,AI236)</f>
        <v>33</v>
      </c>
      <c r="AK236" s="103"/>
      <c r="AL236" s="100"/>
      <c r="AM236" s="104" t="n">
        <f aca="false">SUM(AJ236:AL236)</f>
        <v>33</v>
      </c>
    </row>
    <row r="237" customFormat="false" ht="15.75" hidden="false" customHeight="false" outlineLevel="0" collapsed="false">
      <c r="A237" s="41"/>
      <c r="B237" s="42"/>
      <c r="C237" s="102" t="s">
        <v>95</v>
      </c>
      <c r="D237" s="126" t="s">
        <v>33</v>
      </c>
      <c r="E237" s="107" t="s">
        <v>34</v>
      </c>
      <c r="F237" s="127" t="n">
        <v>1</v>
      </c>
      <c r="G237" s="103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1"/>
      <c r="S237" s="101"/>
      <c r="T237" s="143"/>
      <c r="U237" s="103"/>
      <c r="V237" s="100" t="n">
        <v>14</v>
      </c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 t="n">
        <v>6</v>
      </c>
      <c r="AG237" s="96"/>
      <c r="AH237" s="125" t="n">
        <f aca="false">SUM(U237:AG237)</f>
        <v>20</v>
      </c>
      <c r="AI237" s="101"/>
      <c r="AJ237" s="102" t="n">
        <f aca="false">SUM(T237,AH237,AI237)</f>
        <v>20</v>
      </c>
      <c r="AK237" s="103"/>
      <c r="AL237" s="100"/>
      <c r="AM237" s="104" t="n">
        <f aca="false">SUM(AJ237:AL237)</f>
        <v>20</v>
      </c>
    </row>
    <row r="238" customFormat="false" ht="15.75" hidden="false" customHeight="false" outlineLevel="0" collapsed="false">
      <c r="A238" s="41"/>
      <c r="B238" s="42"/>
      <c r="C238" s="102" t="s">
        <v>111</v>
      </c>
      <c r="D238" s="126" t="s">
        <v>33</v>
      </c>
      <c r="E238" s="107" t="s">
        <v>34</v>
      </c>
      <c r="F238" s="127" t="n">
        <v>1</v>
      </c>
      <c r="G238" s="103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1"/>
      <c r="S238" s="101"/>
      <c r="T238" s="143"/>
      <c r="U238" s="103"/>
      <c r="V238" s="100" t="n">
        <v>2</v>
      </c>
      <c r="W238" s="100" t="n">
        <v>14</v>
      </c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96"/>
      <c r="AH238" s="125" t="n">
        <f aca="false">SUM(U238:AG238)</f>
        <v>16</v>
      </c>
      <c r="AI238" s="101"/>
      <c r="AJ238" s="102" t="n">
        <f aca="false">SUM(T238,AH238,AI238)</f>
        <v>16</v>
      </c>
      <c r="AK238" s="103"/>
      <c r="AL238" s="100"/>
      <c r="AM238" s="104" t="n">
        <f aca="false">SUM(AJ238:AL238)</f>
        <v>16</v>
      </c>
    </row>
    <row r="239" customFormat="false" ht="15.75" hidden="false" customHeight="false" outlineLevel="0" collapsed="false">
      <c r="A239" s="41"/>
      <c r="B239" s="42"/>
      <c r="C239" s="102" t="s">
        <v>78</v>
      </c>
      <c r="D239" s="126" t="s">
        <v>36</v>
      </c>
      <c r="E239" s="107" t="s">
        <v>34</v>
      </c>
      <c r="F239" s="127" t="n">
        <v>1</v>
      </c>
      <c r="G239" s="100"/>
      <c r="H239" s="100" t="n">
        <v>8</v>
      </c>
      <c r="I239" s="100" t="n">
        <v>2</v>
      </c>
      <c r="J239" s="100"/>
      <c r="K239" s="100"/>
      <c r="L239" s="100"/>
      <c r="M239" s="100"/>
      <c r="N239" s="100"/>
      <c r="O239" s="100"/>
      <c r="P239" s="100"/>
      <c r="Q239" s="100"/>
      <c r="R239" s="101"/>
      <c r="S239" s="101" t="n">
        <v>9</v>
      </c>
      <c r="T239" s="143" t="n">
        <f aca="false">SUM(G239:S239)</f>
        <v>19</v>
      </c>
      <c r="U239" s="103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96"/>
      <c r="AH239" s="125"/>
      <c r="AI239" s="101"/>
      <c r="AJ239" s="102" t="n">
        <f aca="false">SUM(T239,AH239,AI239)</f>
        <v>19</v>
      </c>
      <c r="AK239" s="103"/>
      <c r="AL239" s="100"/>
      <c r="AM239" s="104" t="n">
        <f aca="false">SUM(AJ239:AL239)</f>
        <v>19</v>
      </c>
    </row>
    <row r="240" customFormat="false" ht="15.75" hidden="false" customHeight="false" outlineLevel="0" collapsed="false">
      <c r="A240" s="41"/>
      <c r="B240" s="164"/>
      <c r="C240" s="102" t="s">
        <v>95</v>
      </c>
      <c r="D240" s="124" t="s">
        <v>33</v>
      </c>
      <c r="E240" s="170" t="s">
        <v>84</v>
      </c>
      <c r="F240" s="163" t="n">
        <v>1</v>
      </c>
      <c r="G240" s="103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1"/>
      <c r="S240" s="101"/>
      <c r="T240" s="143"/>
      <c r="U240" s="103"/>
      <c r="V240" s="100" t="n">
        <v>16</v>
      </c>
      <c r="W240" s="100" t="n">
        <v>2</v>
      </c>
      <c r="X240" s="100"/>
      <c r="Y240" s="100"/>
      <c r="Z240" s="100"/>
      <c r="AA240" s="100"/>
      <c r="AB240" s="100"/>
      <c r="AC240" s="100"/>
      <c r="AD240" s="100"/>
      <c r="AE240" s="100"/>
      <c r="AF240" s="100" t="n">
        <v>6</v>
      </c>
      <c r="AG240" s="96"/>
      <c r="AH240" s="125" t="n">
        <f aca="false">SUM(U240:AG240)</f>
        <v>24</v>
      </c>
      <c r="AI240" s="101"/>
      <c r="AJ240" s="102" t="n">
        <f aca="false">SUM(T240,AH240,AI240)</f>
        <v>24</v>
      </c>
      <c r="AK240" s="103"/>
      <c r="AL240" s="100"/>
      <c r="AM240" s="104" t="n">
        <f aca="false">SUM(AJ240:AL240)</f>
        <v>24</v>
      </c>
    </row>
    <row r="241" customFormat="false" ht="15.75" hidden="false" customHeight="false" outlineLevel="0" collapsed="false">
      <c r="A241" s="41"/>
      <c r="B241" s="164"/>
      <c r="C241" s="102" t="s">
        <v>111</v>
      </c>
      <c r="D241" s="124" t="s">
        <v>33</v>
      </c>
      <c r="E241" s="170" t="s">
        <v>84</v>
      </c>
      <c r="F241" s="163" t="n">
        <v>1</v>
      </c>
      <c r="G241" s="103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1"/>
      <c r="S241" s="101"/>
      <c r="T241" s="143"/>
      <c r="U241" s="103"/>
      <c r="V241" s="100" t="n">
        <v>2</v>
      </c>
      <c r="W241" s="100" t="n">
        <v>14</v>
      </c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96"/>
      <c r="AH241" s="125" t="n">
        <f aca="false">SUM(U241:AG241)</f>
        <v>16</v>
      </c>
      <c r="AI241" s="101"/>
      <c r="AJ241" s="102" t="n">
        <f aca="false">SUM(T241,AH241,AI241)</f>
        <v>16</v>
      </c>
      <c r="AK241" s="103"/>
      <c r="AL241" s="100"/>
      <c r="AM241" s="104" t="n">
        <f aca="false">SUM(AJ241:AL241)</f>
        <v>16</v>
      </c>
    </row>
    <row r="242" customFormat="false" ht="15.75" hidden="false" customHeight="false" outlineLevel="0" collapsed="false">
      <c r="A242" s="41"/>
      <c r="B242" s="41"/>
      <c r="C242" s="102" t="s">
        <v>86</v>
      </c>
      <c r="D242" s="126" t="n">
        <v>4</v>
      </c>
      <c r="E242" s="107" t="s">
        <v>59</v>
      </c>
      <c r="F242" s="127" t="n">
        <v>1</v>
      </c>
      <c r="G242" s="103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1"/>
      <c r="S242" s="101"/>
      <c r="T242" s="143"/>
      <c r="U242" s="103"/>
      <c r="V242" s="100"/>
      <c r="W242" s="100"/>
      <c r="X242" s="100"/>
      <c r="Y242" s="100"/>
      <c r="Z242" s="100"/>
      <c r="AA242" s="100"/>
      <c r="AB242" s="100"/>
      <c r="AC242" s="100" t="n">
        <v>28</v>
      </c>
      <c r="AD242" s="100"/>
      <c r="AE242" s="100"/>
      <c r="AF242" s="100"/>
      <c r="AG242" s="96"/>
      <c r="AH242" s="125" t="n">
        <f aca="false">SUM(U242:AG242)</f>
        <v>28</v>
      </c>
      <c r="AI242" s="101"/>
      <c r="AJ242" s="102" t="n">
        <f aca="false">SUM(T242,AH242,AI242)</f>
        <v>28</v>
      </c>
      <c r="AK242" s="103"/>
      <c r="AL242" s="100"/>
      <c r="AM242" s="104" t="n">
        <f aca="false">SUM(AJ242:AL242)</f>
        <v>28</v>
      </c>
    </row>
    <row r="243" customFormat="false" ht="15.75" hidden="false" customHeight="false" outlineLevel="0" collapsed="false">
      <c r="A243" s="41"/>
      <c r="B243" s="41"/>
      <c r="C243" s="102" t="s">
        <v>86</v>
      </c>
      <c r="D243" s="126" t="n">
        <v>1</v>
      </c>
      <c r="E243" s="107" t="s">
        <v>41</v>
      </c>
      <c r="F243" s="127" t="n">
        <v>1</v>
      </c>
      <c r="G243" s="103"/>
      <c r="H243" s="100"/>
      <c r="I243" s="100"/>
      <c r="J243" s="100"/>
      <c r="K243" s="100"/>
      <c r="L243" s="100"/>
      <c r="M243" s="100"/>
      <c r="N243" s="100"/>
      <c r="O243" s="100" t="n">
        <v>28</v>
      </c>
      <c r="P243" s="100"/>
      <c r="Q243" s="100"/>
      <c r="R243" s="101"/>
      <c r="S243" s="101"/>
      <c r="T243" s="143" t="n">
        <f aca="false">SUM(G243:S243)</f>
        <v>28</v>
      </c>
      <c r="U243" s="103"/>
      <c r="V243" s="100"/>
      <c r="W243" s="100"/>
      <c r="X243" s="100"/>
      <c r="Y243" s="100"/>
      <c r="Z243" s="100"/>
      <c r="AA243" s="100"/>
      <c r="AB243" s="100"/>
      <c r="AC243" s="100" t="n">
        <v>28</v>
      </c>
      <c r="AD243" s="100"/>
      <c r="AE243" s="100"/>
      <c r="AF243" s="100"/>
      <c r="AG243" s="96"/>
      <c r="AH243" s="125" t="n">
        <f aca="false">SUM(U243:AG243)</f>
        <v>28</v>
      </c>
      <c r="AI243" s="101"/>
      <c r="AJ243" s="102" t="n">
        <f aca="false">SUM(T243,AH243,AI243)</f>
        <v>56</v>
      </c>
      <c r="AK243" s="103"/>
      <c r="AL243" s="100"/>
      <c r="AM243" s="104" t="n">
        <f aca="false">SUM(AJ243:AL243)</f>
        <v>56</v>
      </c>
    </row>
    <row r="244" customFormat="false" ht="15.75" hidden="false" customHeight="false" outlineLevel="0" collapsed="false">
      <c r="A244" s="41"/>
      <c r="B244" s="42"/>
      <c r="C244" s="102" t="s">
        <v>86</v>
      </c>
      <c r="D244" s="126" t="n">
        <v>2</v>
      </c>
      <c r="E244" s="107" t="s">
        <v>41</v>
      </c>
      <c r="F244" s="127" t="n">
        <v>1</v>
      </c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1"/>
      <c r="S244" s="101"/>
      <c r="T244" s="143"/>
      <c r="U244" s="103"/>
      <c r="V244" s="100"/>
      <c r="W244" s="100"/>
      <c r="X244" s="100"/>
      <c r="Y244" s="100"/>
      <c r="Z244" s="100"/>
      <c r="AA244" s="100"/>
      <c r="AB244" s="100"/>
      <c r="AC244" s="100" t="n">
        <v>6</v>
      </c>
      <c r="AD244" s="100"/>
      <c r="AE244" s="100"/>
      <c r="AF244" s="100"/>
      <c r="AG244" s="96"/>
      <c r="AH244" s="125" t="n">
        <f aca="false">SUM(U244:AG244)</f>
        <v>6</v>
      </c>
      <c r="AI244" s="101"/>
      <c r="AJ244" s="102" t="n">
        <f aca="false">SUM(T244,AH244,AI244)</f>
        <v>6</v>
      </c>
      <c r="AK244" s="103"/>
      <c r="AL244" s="100"/>
      <c r="AM244" s="104" t="n">
        <f aca="false">SUM(AJ244:AL244)</f>
        <v>6</v>
      </c>
    </row>
    <row r="245" customFormat="false" ht="15.75" hidden="false" customHeight="false" outlineLevel="0" collapsed="false">
      <c r="A245" s="41"/>
      <c r="B245" s="42"/>
      <c r="C245" s="102" t="s">
        <v>86</v>
      </c>
      <c r="D245" s="126" t="s">
        <v>39</v>
      </c>
      <c r="E245" s="107" t="s">
        <v>41</v>
      </c>
      <c r="F245" s="127" t="n">
        <v>1</v>
      </c>
      <c r="G245" s="100"/>
      <c r="H245" s="100"/>
      <c r="I245" s="100"/>
      <c r="J245" s="100"/>
      <c r="K245" s="100"/>
      <c r="L245" s="100"/>
      <c r="M245" s="100"/>
      <c r="N245" s="100"/>
      <c r="O245" s="100" t="n">
        <v>14</v>
      </c>
      <c r="P245" s="100"/>
      <c r="Q245" s="100"/>
      <c r="R245" s="101"/>
      <c r="S245" s="101"/>
      <c r="T245" s="143" t="n">
        <f aca="false">SUM(G245:S245)</f>
        <v>14</v>
      </c>
      <c r="U245" s="103"/>
      <c r="V245" s="100"/>
      <c r="W245" s="100"/>
      <c r="X245" s="100"/>
      <c r="Y245" s="100"/>
      <c r="Z245" s="100"/>
      <c r="AA245" s="100"/>
      <c r="AB245" s="100"/>
      <c r="AC245" s="100" t="n">
        <v>28</v>
      </c>
      <c r="AD245" s="100"/>
      <c r="AE245" s="100"/>
      <c r="AF245" s="100"/>
      <c r="AG245" s="96"/>
      <c r="AH245" s="125" t="n">
        <f aca="false">SUM(U245:AG245)</f>
        <v>28</v>
      </c>
      <c r="AI245" s="101"/>
      <c r="AJ245" s="102" t="n">
        <f aca="false">SUM(T245,AH245,AI245)</f>
        <v>42</v>
      </c>
      <c r="AK245" s="103"/>
      <c r="AL245" s="100"/>
      <c r="AM245" s="104" t="n">
        <f aca="false">SUM(AJ245:AL245)</f>
        <v>42</v>
      </c>
    </row>
    <row r="246" customFormat="false" ht="15.75" hidden="false" customHeight="false" outlineLevel="0" collapsed="false">
      <c r="A246" s="41"/>
      <c r="B246" s="164"/>
      <c r="C246" s="102" t="s">
        <v>86</v>
      </c>
      <c r="D246" s="124" t="s">
        <v>36</v>
      </c>
      <c r="E246" s="170" t="s">
        <v>68</v>
      </c>
      <c r="F246" s="163" t="n">
        <v>1</v>
      </c>
      <c r="G246" s="103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1"/>
      <c r="S246" s="101"/>
      <c r="T246" s="143"/>
      <c r="U246" s="103"/>
      <c r="V246" s="100"/>
      <c r="W246" s="100"/>
      <c r="X246" s="100"/>
      <c r="Y246" s="100"/>
      <c r="Z246" s="100"/>
      <c r="AA246" s="100"/>
      <c r="AB246" s="100"/>
      <c r="AC246" s="100" t="n">
        <v>26</v>
      </c>
      <c r="AD246" s="100"/>
      <c r="AE246" s="100"/>
      <c r="AF246" s="100"/>
      <c r="AG246" s="96"/>
      <c r="AH246" s="125" t="n">
        <f aca="false">SUM(U246:AG246)</f>
        <v>26</v>
      </c>
      <c r="AI246" s="101"/>
      <c r="AJ246" s="102" t="n">
        <f aca="false">SUM(T246,AH246,AI246)</f>
        <v>26</v>
      </c>
      <c r="AK246" s="103"/>
      <c r="AL246" s="100"/>
      <c r="AM246" s="104" t="n">
        <f aca="false">SUM(AJ246:AL246)</f>
        <v>26</v>
      </c>
    </row>
    <row r="247" customFormat="false" ht="15.75" hidden="false" customHeight="false" outlineLevel="0" collapsed="false">
      <c r="A247" s="41"/>
      <c r="B247" s="164"/>
      <c r="C247" s="102" t="s">
        <v>86</v>
      </c>
      <c r="D247" s="124" t="s">
        <v>39</v>
      </c>
      <c r="E247" s="170" t="s">
        <v>68</v>
      </c>
      <c r="F247" s="163" t="n">
        <v>1</v>
      </c>
      <c r="G247" s="103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1"/>
      <c r="S247" s="101"/>
      <c r="T247" s="143"/>
      <c r="U247" s="103"/>
      <c r="V247" s="100"/>
      <c r="W247" s="100"/>
      <c r="X247" s="100"/>
      <c r="Y247" s="100"/>
      <c r="Z247" s="100"/>
      <c r="AA247" s="100"/>
      <c r="AB247" s="100"/>
      <c r="AC247" s="100" t="n">
        <v>26</v>
      </c>
      <c r="AD247" s="100"/>
      <c r="AE247" s="100"/>
      <c r="AF247" s="100"/>
      <c r="AG247" s="96"/>
      <c r="AH247" s="125" t="n">
        <f aca="false">SUM(U247:AG247)</f>
        <v>26</v>
      </c>
      <c r="AI247" s="101"/>
      <c r="AJ247" s="102" t="n">
        <f aca="false">SUM(T247,AH247,AI247)</f>
        <v>26</v>
      </c>
      <c r="AK247" s="103"/>
      <c r="AL247" s="100"/>
      <c r="AM247" s="104" t="n">
        <f aca="false">SUM(AJ247:AL247)</f>
        <v>26</v>
      </c>
    </row>
    <row r="248" customFormat="false" ht="15.75" hidden="false" customHeight="false" outlineLevel="0" collapsed="false">
      <c r="A248" s="41"/>
      <c r="B248" s="42"/>
      <c r="C248" s="102" t="s">
        <v>86</v>
      </c>
      <c r="D248" s="126" t="s">
        <v>33</v>
      </c>
      <c r="E248" s="107" t="s">
        <v>34</v>
      </c>
      <c r="F248" s="127" t="n">
        <v>1</v>
      </c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1"/>
      <c r="S248" s="101"/>
      <c r="T248" s="143"/>
      <c r="U248" s="103"/>
      <c r="V248" s="100"/>
      <c r="W248" s="100"/>
      <c r="X248" s="100"/>
      <c r="Y248" s="100"/>
      <c r="Z248" s="100"/>
      <c r="AA248" s="100"/>
      <c r="AB248" s="100"/>
      <c r="AC248" s="100" t="n">
        <v>34</v>
      </c>
      <c r="AD248" s="100"/>
      <c r="AE248" s="100"/>
      <c r="AF248" s="100"/>
      <c r="AG248" s="96"/>
      <c r="AH248" s="125" t="n">
        <f aca="false">SUM(U248:AG248)</f>
        <v>34</v>
      </c>
      <c r="AI248" s="101"/>
      <c r="AJ248" s="102" t="n">
        <f aca="false">SUM(T248,AH248,AI248)</f>
        <v>34</v>
      </c>
      <c r="AK248" s="103"/>
      <c r="AL248" s="100"/>
      <c r="AM248" s="104" t="n">
        <f aca="false">SUM(AJ248:AL248)</f>
        <v>34</v>
      </c>
    </row>
    <row r="249" customFormat="false" ht="15.75" hidden="false" customHeight="false" outlineLevel="0" collapsed="false">
      <c r="A249" s="41"/>
      <c r="B249" s="42"/>
      <c r="C249" s="102" t="s">
        <v>86</v>
      </c>
      <c r="D249" s="126" t="s">
        <v>36</v>
      </c>
      <c r="E249" s="107" t="s">
        <v>34</v>
      </c>
      <c r="F249" s="127" t="n">
        <v>1</v>
      </c>
      <c r="G249" s="103"/>
      <c r="H249" s="100"/>
      <c r="I249" s="100"/>
      <c r="J249" s="100"/>
      <c r="K249" s="100"/>
      <c r="L249" s="100"/>
      <c r="M249" s="100"/>
      <c r="N249" s="100"/>
      <c r="O249" s="100" t="n">
        <v>4</v>
      </c>
      <c r="P249" s="100"/>
      <c r="Q249" s="100"/>
      <c r="R249" s="101"/>
      <c r="S249" s="101"/>
      <c r="T249" s="143" t="n">
        <f aca="false">SUM(G249:S249)</f>
        <v>4</v>
      </c>
      <c r="U249" s="103"/>
      <c r="V249" s="100"/>
      <c r="W249" s="100"/>
      <c r="X249" s="100"/>
      <c r="Y249" s="100"/>
      <c r="Z249" s="100"/>
      <c r="AA249" s="100"/>
      <c r="AB249" s="100"/>
      <c r="AC249" s="100" t="n">
        <v>26</v>
      </c>
      <c r="AD249" s="100"/>
      <c r="AE249" s="100"/>
      <c r="AF249" s="100"/>
      <c r="AG249" s="96"/>
      <c r="AH249" s="125" t="n">
        <f aca="false">SUM(U249:AG249)</f>
        <v>26</v>
      </c>
      <c r="AI249" s="101"/>
      <c r="AJ249" s="102" t="n">
        <f aca="false">SUM(T249,AH249,AI249)</f>
        <v>30</v>
      </c>
      <c r="AK249" s="103"/>
      <c r="AL249" s="100"/>
      <c r="AM249" s="104" t="n">
        <f aca="false">SUM(AJ249:AL249)</f>
        <v>30</v>
      </c>
    </row>
    <row r="250" customFormat="false" ht="15.75" hidden="false" customHeight="false" outlineLevel="0" collapsed="false">
      <c r="A250" s="41"/>
      <c r="B250" s="41"/>
      <c r="C250" s="102" t="s">
        <v>27</v>
      </c>
      <c r="D250" s="126" t="n">
        <v>4</v>
      </c>
      <c r="E250" s="107" t="s">
        <v>59</v>
      </c>
      <c r="F250" s="127" t="n">
        <v>1</v>
      </c>
      <c r="G250" s="103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1"/>
      <c r="S250" s="101"/>
      <c r="T250" s="143"/>
      <c r="U250" s="103"/>
      <c r="V250" s="100"/>
      <c r="W250" s="100"/>
      <c r="X250" s="100"/>
      <c r="Y250" s="100"/>
      <c r="Z250" s="100"/>
      <c r="AA250" s="100"/>
      <c r="AB250" s="100"/>
      <c r="AC250" s="100"/>
      <c r="AD250" s="100" t="n">
        <v>14</v>
      </c>
      <c r="AE250" s="100"/>
      <c r="AF250" s="100"/>
      <c r="AG250" s="96"/>
      <c r="AH250" s="125" t="n">
        <f aca="false">SUM(U250:AG250)</f>
        <v>14</v>
      </c>
      <c r="AI250" s="101"/>
      <c r="AJ250" s="102" t="n">
        <f aca="false">SUM(T250,AH250,AI250)</f>
        <v>14</v>
      </c>
      <c r="AK250" s="103"/>
      <c r="AL250" s="100"/>
      <c r="AM250" s="104" t="n">
        <f aca="false">SUM(AJ250:AL250)</f>
        <v>14</v>
      </c>
    </row>
    <row r="251" customFormat="false" ht="15.75" hidden="false" customHeight="false" outlineLevel="0" collapsed="false">
      <c r="A251" s="41"/>
      <c r="B251" s="41"/>
      <c r="C251" s="102" t="s">
        <v>27</v>
      </c>
      <c r="D251" s="126" t="n">
        <v>1</v>
      </c>
      <c r="E251" s="107" t="s">
        <v>41</v>
      </c>
      <c r="F251" s="127" t="n">
        <v>1</v>
      </c>
      <c r="G251" s="103"/>
      <c r="H251" s="100"/>
      <c r="I251" s="100"/>
      <c r="J251" s="100"/>
      <c r="K251" s="100"/>
      <c r="L251" s="100"/>
      <c r="M251" s="100"/>
      <c r="N251" s="100"/>
      <c r="O251" s="100"/>
      <c r="P251" s="100" t="n">
        <v>14</v>
      </c>
      <c r="Q251" s="100"/>
      <c r="R251" s="101"/>
      <c r="S251" s="101"/>
      <c r="T251" s="143" t="n">
        <f aca="false">SUM(G251:S251)</f>
        <v>14</v>
      </c>
      <c r="U251" s="103"/>
      <c r="V251" s="100"/>
      <c r="W251" s="100"/>
      <c r="X251" s="100"/>
      <c r="Y251" s="100"/>
      <c r="Z251" s="100"/>
      <c r="AA251" s="100"/>
      <c r="AB251" s="100"/>
      <c r="AC251" s="100"/>
      <c r="AD251" s="100" t="n">
        <v>14</v>
      </c>
      <c r="AE251" s="100"/>
      <c r="AF251" s="100"/>
      <c r="AG251" s="96"/>
      <c r="AH251" s="125" t="n">
        <f aca="false">SUM(U251:AG251)</f>
        <v>14</v>
      </c>
      <c r="AI251" s="101"/>
      <c r="AJ251" s="102" t="n">
        <f aca="false">SUM(T251,AH251,AI251)</f>
        <v>28</v>
      </c>
      <c r="AK251" s="103"/>
      <c r="AL251" s="100"/>
      <c r="AM251" s="104" t="n">
        <f aca="false">SUM(AJ251:AL251)</f>
        <v>28</v>
      </c>
    </row>
    <row r="252" customFormat="false" ht="15.75" hidden="false" customHeight="false" outlineLevel="0" collapsed="false">
      <c r="A252" s="41"/>
      <c r="B252" s="42"/>
      <c r="C252" s="102" t="s">
        <v>27</v>
      </c>
      <c r="D252" s="126" t="n">
        <v>2</v>
      </c>
      <c r="E252" s="107" t="s">
        <v>41</v>
      </c>
      <c r="F252" s="127" t="n">
        <v>1</v>
      </c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1"/>
      <c r="S252" s="101"/>
      <c r="T252" s="143"/>
      <c r="U252" s="103"/>
      <c r="V252" s="100"/>
      <c r="W252" s="100"/>
      <c r="X252" s="100"/>
      <c r="Y252" s="100"/>
      <c r="Z252" s="100"/>
      <c r="AA252" s="100"/>
      <c r="AB252" s="100"/>
      <c r="AC252" s="100"/>
      <c r="AD252" s="100" t="n">
        <v>3</v>
      </c>
      <c r="AE252" s="100"/>
      <c r="AF252" s="100"/>
      <c r="AG252" s="96"/>
      <c r="AH252" s="125" t="n">
        <f aca="false">SUM(U252:AG252)</f>
        <v>3</v>
      </c>
      <c r="AI252" s="101"/>
      <c r="AJ252" s="102" t="n">
        <f aca="false">SUM(T252,AH252,AI252)</f>
        <v>3</v>
      </c>
      <c r="AK252" s="103"/>
      <c r="AL252" s="100"/>
      <c r="AM252" s="104" t="n">
        <f aca="false">SUM(AJ252:AL252)</f>
        <v>3</v>
      </c>
    </row>
    <row r="253" customFormat="false" ht="15.75" hidden="false" customHeight="false" outlineLevel="0" collapsed="false">
      <c r="A253" s="41"/>
      <c r="B253" s="42"/>
      <c r="C253" s="102" t="s">
        <v>27</v>
      </c>
      <c r="D253" s="126" t="s">
        <v>39</v>
      </c>
      <c r="E253" s="107" t="s">
        <v>41</v>
      </c>
      <c r="F253" s="127" t="n">
        <v>1</v>
      </c>
      <c r="G253" s="100"/>
      <c r="H253" s="100"/>
      <c r="I253" s="100"/>
      <c r="J253" s="100"/>
      <c r="K253" s="100"/>
      <c r="L253" s="100"/>
      <c r="M253" s="100"/>
      <c r="N253" s="100"/>
      <c r="O253" s="100"/>
      <c r="P253" s="100" t="n">
        <v>12</v>
      </c>
      <c r="Q253" s="100"/>
      <c r="R253" s="101"/>
      <c r="S253" s="101"/>
      <c r="T253" s="143" t="n">
        <f aca="false">SUM(G253:S253)</f>
        <v>12</v>
      </c>
      <c r="U253" s="103"/>
      <c r="V253" s="100"/>
      <c r="W253" s="100"/>
      <c r="X253" s="100"/>
      <c r="Y253" s="100"/>
      <c r="Z253" s="100"/>
      <c r="AA253" s="100"/>
      <c r="AB253" s="100"/>
      <c r="AC253" s="100"/>
      <c r="AD253" s="100" t="n">
        <v>14</v>
      </c>
      <c r="AE253" s="100"/>
      <c r="AF253" s="100"/>
      <c r="AG253" s="96"/>
      <c r="AH253" s="125" t="n">
        <f aca="false">SUM(U253:AG253)</f>
        <v>14</v>
      </c>
      <c r="AI253" s="101"/>
      <c r="AJ253" s="102" t="n">
        <f aca="false">SUM(T253,AH253,AI253)</f>
        <v>26</v>
      </c>
      <c r="AK253" s="103"/>
      <c r="AL253" s="100"/>
      <c r="AM253" s="104" t="n">
        <f aca="false">SUM(AJ253:AL253)</f>
        <v>26</v>
      </c>
    </row>
    <row r="254" customFormat="false" ht="15.75" hidden="false" customHeight="false" outlineLevel="0" collapsed="false">
      <c r="A254" s="41"/>
      <c r="B254" s="164"/>
      <c r="C254" s="102" t="s">
        <v>27</v>
      </c>
      <c r="D254" s="126" t="s">
        <v>36</v>
      </c>
      <c r="E254" s="170" t="s">
        <v>68</v>
      </c>
      <c r="F254" s="163" t="n">
        <v>1</v>
      </c>
      <c r="G254" s="103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1"/>
      <c r="S254" s="101"/>
      <c r="T254" s="143"/>
      <c r="U254" s="103"/>
      <c r="V254" s="100"/>
      <c r="W254" s="100"/>
      <c r="X254" s="100"/>
      <c r="Y254" s="100"/>
      <c r="Z254" s="100"/>
      <c r="AA254" s="100"/>
      <c r="AB254" s="100"/>
      <c r="AC254" s="100"/>
      <c r="AD254" s="100" t="n">
        <v>13</v>
      </c>
      <c r="AE254" s="100"/>
      <c r="AF254" s="100"/>
      <c r="AG254" s="96"/>
      <c r="AH254" s="125" t="n">
        <f aca="false">SUM(U254:AG254)</f>
        <v>13</v>
      </c>
      <c r="AI254" s="101"/>
      <c r="AJ254" s="102" t="n">
        <f aca="false">SUM(T254,AH254,AI254)</f>
        <v>13</v>
      </c>
      <c r="AK254" s="103"/>
      <c r="AL254" s="100"/>
      <c r="AM254" s="104" t="n">
        <f aca="false">SUM(AJ254:AL254)</f>
        <v>13</v>
      </c>
    </row>
    <row r="255" customFormat="false" ht="15.75" hidden="false" customHeight="false" outlineLevel="0" collapsed="false">
      <c r="A255" s="41"/>
      <c r="B255" s="164"/>
      <c r="C255" s="102" t="s">
        <v>27</v>
      </c>
      <c r="D255" s="124" t="s">
        <v>39</v>
      </c>
      <c r="E255" s="170" t="s">
        <v>68</v>
      </c>
      <c r="F255" s="163" t="n">
        <v>1</v>
      </c>
      <c r="G255" s="103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1"/>
      <c r="S255" s="101"/>
      <c r="T255" s="143"/>
      <c r="U255" s="103"/>
      <c r="V255" s="100"/>
      <c r="W255" s="100"/>
      <c r="X255" s="100"/>
      <c r="Y255" s="100"/>
      <c r="Z255" s="100"/>
      <c r="AA255" s="100"/>
      <c r="AB255" s="100"/>
      <c r="AC255" s="100"/>
      <c r="AD255" s="100" t="n">
        <v>13</v>
      </c>
      <c r="AE255" s="100"/>
      <c r="AF255" s="100"/>
      <c r="AG255" s="96"/>
      <c r="AH255" s="125" t="n">
        <f aca="false">SUM(U255:AG255)</f>
        <v>13</v>
      </c>
      <c r="AI255" s="101"/>
      <c r="AJ255" s="102" t="n">
        <f aca="false">SUM(T255,AH255,AI255)</f>
        <v>13</v>
      </c>
      <c r="AK255" s="103"/>
      <c r="AL255" s="100"/>
      <c r="AM255" s="104" t="n">
        <f aca="false">SUM(AJ255:AL255)</f>
        <v>13</v>
      </c>
    </row>
    <row r="256" customFormat="false" ht="15.75" hidden="false" customHeight="false" outlineLevel="0" collapsed="false">
      <c r="A256" s="41"/>
      <c r="B256" s="42"/>
      <c r="C256" s="102" t="s">
        <v>27</v>
      </c>
      <c r="D256" s="126" t="s">
        <v>33</v>
      </c>
      <c r="E256" s="107" t="s">
        <v>34</v>
      </c>
      <c r="F256" s="127" t="n">
        <v>1</v>
      </c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1"/>
      <c r="S256" s="101"/>
      <c r="T256" s="143"/>
      <c r="U256" s="103"/>
      <c r="V256" s="100"/>
      <c r="W256" s="100"/>
      <c r="X256" s="100"/>
      <c r="Y256" s="100"/>
      <c r="Z256" s="100"/>
      <c r="AA256" s="100"/>
      <c r="AB256" s="100"/>
      <c r="AC256" s="100"/>
      <c r="AD256" s="100" t="n">
        <v>17</v>
      </c>
      <c r="AE256" s="100"/>
      <c r="AF256" s="100"/>
      <c r="AG256" s="96"/>
      <c r="AH256" s="125" t="n">
        <f aca="false">SUM(U256:AG256)</f>
        <v>17</v>
      </c>
      <c r="AI256" s="101"/>
      <c r="AJ256" s="102" t="n">
        <f aca="false">SUM(T256,AH256,AI256)</f>
        <v>17</v>
      </c>
      <c r="AK256" s="103"/>
      <c r="AL256" s="100"/>
      <c r="AM256" s="104" t="n">
        <f aca="false">SUM(AJ256:AL256)</f>
        <v>17</v>
      </c>
    </row>
    <row r="257" customFormat="false" ht="16.5" hidden="false" customHeight="false" outlineLevel="0" collapsed="false">
      <c r="A257" s="41"/>
      <c r="B257" s="42"/>
      <c r="C257" s="128" t="s">
        <v>27</v>
      </c>
      <c r="D257" s="126" t="s">
        <v>36</v>
      </c>
      <c r="E257" s="107" t="s">
        <v>34</v>
      </c>
      <c r="F257" s="127" t="n">
        <v>1</v>
      </c>
      <c r="G257" s="103"/>
      <c r="H257" s="100"/>
      <c r="I257" s="100"/>
      <c r="J257" s="100"/>
      <c r="K257" s="100"/>
      <c r="L257" s="100"/>
      <c r="M257" s="100"/>
      <c r="N257" s="100"/>
      <c r="O257" s="100"/>
      <c r="P257" s="100" t="n">
        <v>3</v>
      </c>
      <c r="Q257" s="100"/>
      <c r="R257" s="101"/>
      <c r="S257" s="101"/>
      <c r="T257" s="143" t="n">
        <f aca="false">SUM(G257:S257)</f>
        <v>3</v>
      </c>
      <c r="U257" s="103"/>
      <c r="V257" s="100"/>
      <c r="W257" s="100"/>
      <c r="X257" s="100"/>
      <c r="Y257" s="100"/>
      <c r="Z257" s="100"/>
      <c r="AA257" s="100"/>
      <c r="AB257" s="100"/>
      <c r="AC257" s="100"/>
      <c r="AD257" s="100" t="n">
        <v>13</v>
      </c>
      <c r="AE257" s="100"/>
      <c r="AF257" s="100"/>
      <c r="AG257" s="96"/>
      <c r="AH257" s="125" t="n">
        <f aca="false">SUM(U257:AG257)</f>
        <v>13</v>
      </c>
      <c r="AI257" s="101"/>
      <c r="AJ257" s="102" t="n">
        <f aca="false">SUM(T257,AH257,AI257)</f>
        <v>16</v>
      </c>
      <c r="AK257" s="103"/>
      <c r="AL257" s="100"/>
      <c r="AM257" s="104" t="n">
        <f aca="false">SUM(AJ257:AL257)</f>
        <v>16</v>
      </c>
    </row>
    <row r="258" customFormat="false" ht="21" hidden="false" customHeight="true" outlineLevel="0" collapsed="false">
      <c r="A258" s="63"/>
      <c r="B258" s="116" t="s">
        <v>42</v>
      </c>
      <c r="C258" s="169"/>
      <c r="D258" s="117"/>
      <c r="E258" s="117"/>
      <c r="F258" s="157"/>
      <c r="G258" s="69" t="n">
        <f aca="false">SUM(G227:G257)</f>
        <v>4</v>
      </c>
      <c r="H258" s="69" t="n">
        <f aca="false">SUM(H227:H257)</f>
        <v>80</v>
      </c>
      <c r="I258" s="69" t="n">
        <f aca="false">SUM(I227:I257)</f>
        <v>24</v>
      </c>
      <c r="J258" s="69"/>
      <c r="K258" s="69"/>
      <c r="L258" s="69"/>
      <c r="M258" s="69"/>
      <c r="N258" s="69" t="n">
        <f aca="false">SUM(N227:N257)</f>
        <v>2</v>
      </c>
      <c r="O258" s="69" t="n">
        <f aca="false">SUM(O227:O257)</f>
        <v>46</v>
      </c>
      <c r="P258" s="69" t="n">
        <f aca="false">SUM(P227:P257)</f>
        <v>29</v>
      </c>
      <c r="Q258" s="69"/>
      <c r="R258" s="69" t="n">
        <f aca="false">SUM(R227:R257)</f>
        <v>12</v>
      </c>
      <c r="S258" s="69" t="n">
        <f aca="false">SUM(S227:S257)</f>
        <v>27</v>
      </c>
      <c r="T258" s="71" t="n">
        <f aca="false">SUM(T227:T257)</f>
        <v>224</v>
      </c>
      <c r="U258" s="69"/>
      <c r="V258" s="69" t="n">
        <f aca="false">SUM(V227:V257)</f>
        <v>76</v>
      </c>
      <c r="W258" s="69" t="n">
        <f aca="false">SUM(W227:W257)</f>
        <v>72</v>
      </c>
      <c r="X258" s="69" t="n">
        <f aca="false">SUM(X227:X257)</f>
        <v>10</v>
      </c>
      <c r="Y258" s="69"/>
      <c r="Z258" s="69"/>
      <c r="AA258" s="69" t="n">
        <f aca="false">SUM(AA227:AA257)</f>
        <v>2</v>
      </c>
      <c r="AB258" s="69" t="n">
        <f aca="false">SUM(AB227:AB257)</f>
        <v>2</v>
      </c>
      <c r="AC258" s="69" t="n">
        <f aca="false">SUM(AC227:AC257)</f>
        <v>202</v>
      </c>
      <c r="AD258" s="69" t="n">
        <f aca="false">SUM(AD227:AD257)</f>
        <v>101</v>
      </c>
      <c r="AE258" s="69"/>
      <c r="AF258" s="69" t="n">
        <f aca="false">SUM(AF227:AF257)</f>
        <v>18</v>
      </c>
      <c r="AG258" s="69" t="n">
        <f aca="false">SUM(AG227:AG257)</f>
        <v>27</v>
      </c>
      <c r="AH258" s="71" t="n">
        <f aca="false">SUM(AH227:AH257)</f>
        <v>510</v>
      </c>
      <c r="AI258" s="73"/>
      <c r="AJ258" s="71" t="n">
        <f aca="false">SUM(AJ227:AJ257)</f>
        <v>734</v>
      </c>
      <c r="AK258" s="72"/>
      <c r="AL258" s="70"/>
      <c r="AM258" s="71" t="n">
        <f aca="false">SUM(AM227:AM257)</f>
        <v>734</v>
      </c>
    </row>
    <row r="259" customFormat="false" ht="21" hidden="false" customHeight="true" outlineLevel="0" collapsed="false">
      <c r="A259" s="63"/>
      <c r="B259" s="116" t="s">
        <v>126</v>
      </c>
      <c r="C259" s="117"/>
      <c r="D259" s="117"/>
      <c r="E259" s="117"/>
      <c r="F259" s="157"/>
      <c r="G259" s="69" t="n">
        <f aca="false">SUM(G258,G226,G197,G177,G143,G103,G79,G47,G28,G33)</f>
        <v>28</v>
      </c>
      <c r="H259" s="69" t="n">
        <f aca="false">SUM(H258,H226,H197,H177,H143,H103,H79,H47,H28,H33)</f>
        <v>666</v>
      </c>
      <c r="I259" s="69" t="n">
        <f aca="false">SUM(I258,I226,I197,I177,I143,I103,I79,I47,I28,I33)</f>
        <v>312</v>
      </c>
      <c r="J259" s="69" t="n">
        <f aca="false">SUM(J258,J226,J197,J177,J143,J103,J79,J47,J28,J33)</f>
        <v>406</v>
      </c>
      <c r="K259" s="69" t="n">
        <f aca="false">SUM(K258,K226,K197,K177,K143,K103,K79,K47,K28,K33)</f>
        <v>12</v>
      </c>
      <c r="L259" s="69"/>
      <c r="M259" s="69" t="n">
        <f aca="false">SUM(M258,M226,M197,M177,M143,M103,M79,M47,M28,M33)</f>
        <v>54</v>
      </c>
      <c r="N259" s="69" t="n">
        <f aca="false">SUM(N258,N226,N197,N177,N143,N103,N79,N47,N28,N33)</f>
        <v>20</v>
      </c>
      <c r="O259" s="69" t="n">
        <f aca="false">SUM(O258,O226,O197,O177,O143,O103,O79,O47,O28,O33)</f>
        <v>564</v>
      </c>
      <c r="P259" s="69" t="n">
        <f aca="false">SUM(P258,P226,P197,P177,P143,P103,P79,P47,P28,P33)</f>
        <v>212</v>
      </c>
      <c r="Q259" s="69" t="n">
        <f aca="false">SUM(Q258,Q226,Q197,Q177,Q143,Q103,Q79,Q47,Q28,Q33)</f>
        <v>10</v>
      </c>
      <c r="R259" s="69" t="n">
        <f aca="false">SUM(R258,R226,R197,R177,R143,R103,R79,R47,R28,R33)</f>
        <v>168</v>
      </c>
      <c r="S259" s="70" t="n">
        <f aca="false">SUM(S258,S226,S197,S177,S143,S103,S79,S47,S28,S33)</f>
        <v>180</v>
      </c>
      <c r="T259" s="71" t="n">
        <f aca="false">SUM(T258,T226,T197,T177,T143,T103,T79,T47,T28,T33)</f>
        <v>2632</v>
      </c>
      <c r="U259" s="72" t="n">
        <f aca="false">SUM(U258,U226,U197,U177,U143,U103,U79,U47,U28,U33)</f>
        <v>50</v>
      </c>
      <c r="V259" s="69" t="n">
        <f aca="false">SUM(V258,V226,V197,V177,V143,V103,V79,V47,V28,V33)</f>
        <v>678</v>
      </c>
      <c r="W259" s="69" t="n">
        <f aca="false">SUM(W258,W226,W197,W177,W143,W103,W79,W47,W28,W33)</f>
        <v>424</v>
      </c>
      <c r="X259" s="69" t="n">
        <f aca="false">SUM(X258,X226,X197,X177,X143,X103,X79,X47,X28,X33)</f>
        <v>582</v>
      </c>
      <c r="Y259" s="69" t="n">
        <f aca="false">SUM(Y258,Y226,Y197,Y177,Y143,Y103,Y79,Y47,Y28,Y33)</f>
        <v>8</v>
      </c>
      <c r="Z259" s="69"/>
      <c r="AA259" s="69" t="n">
        <f aca="false">SUM(AA258,AA226,AA197,AA177,AA143,AA103,AA79,AA47,AA28,AA33)</f>
        <v>64</v>
      </c>
      <c r="AB259" s="69" t="n">
        <f aca="false">SUM(AB258,AB226,AB197,AB177,AB143,AB103,AB79,AB47,AB28,AB33)</f>
        <v>18</v>
      </c>
      <c r="AC259" s="69" t="n">
        <f aca="false">SUM(AC258,AC226,AC197,AC177,AC143,AC103,AC79,AC47,AC28,AC33)</f>
        <v>510</v>
      </c>
      <c r="AD259" s="69" t="n">
        <f aca="false">SUM(AD258,AD226,AD197,AD177,AD143,AD103,AD79,AD47,AD28,AD33)</f>
        <v>270</v>
      </c>
      <c r="AE259" s="69" t="n">
        <f aca="false">SUM(AE258,AE226,AE197,AE177,AE143,AE103,AE79,AE47,AE28,AE33)</f>
        <v>12</v>
      </c>
      <c r="AF259" s="69" t="n">
        <f aca="false">SUM(AF258,AF226,AF197,AF177,AF143,AF103,AF79,AF47,AF28,AF33)</f>
        <v>216</v>
      </c>
      <c r="AG259" s="70" t="n">
        <f aca="false">SUM(AG258,AG226,AG197,AG177,AG143,AG103,AG79,AG47,AG28,AG33)</f>
        <v>180</v>
      </c>
      <c r="AH259" s="71" t="n">
        <f aca="false">SUM(AH258,AH226,AH197,AH177,AH143,AH103,AH79,AH47,AH28,AH33)</f>
        <v>3012</v>
      </c>
      <c r="AI259" s="69" t="n">
        <f aca="false">SUM(AI258,AI226,AI197,AI177,AI143,AI103,AI79,AI47,AI28,AI33)</f>
        <v>18</v>
      </c>
      <c r="AJ259" s="71" t="n">
        <f aca="false">SUM(AJ258,AJ226,AJ197,AJ177,AJ143,AJ103,AJ79,AJ47,AJ28,AJ33)</f>
        <v>5451</v>
      </c>
      <c r="AK259" s="72" t="n">
        <f aca="false">SUM(AK258,AK226,AK197,AK177,AK143,AK103,AK79,AK47,AK28,AK33)</f>
        <v>0</v>
      </c>
      <c r="AL259" s="70" t="n">
        <f aca="false">SUM(AL258,AL226,AL197,AL177,AL143,AL103,AL79,AL47,AL28,AL33)</f>
        <v>648</v>
      </c>
      <c r="AM259" s="71" t="n">
        <f aca="false">SUM(AM258,AM226,AM197,AM177,AM143,AM103,AM79,AM47,AM28,AM33)</f>
        <v>6099</v>
      </c>
    </row>
    <row r="260" customFormat="false" ht="15.75" hidden="false" customHeight="false" outlineLevel="0" collapsed="false">
      <c r="A260" s="82"/>
      <c r="B260" s="89"/>
      <c r="C260" s="82"/>
      <c r="D260" s="82"/>
      <c r="E260" s="82"/>
      <c r="F260" s="82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</row>
    <row r="261" customFormat="false" ht="15.75" hidden="false" customHeight="false" outlineLevel="0" collapsed="false">
      <c r="A261" s="82"/>
      <c r="B261" s="81" t="s">
        <v>127</v>
      </c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</row>
    <row r="262" customFormat="false" ht="50.25" hidden="false" customHeight="true" outlineLevel="0" collapsed="false"/>
    <row r="263" customFormat="false" ht="23.25" hidden="false" customHeight="false" outlineLevel="0" collapsed="false">
      <c r="B263" s="83" t="s">
        <v>128</v>
      </c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</row>
    <row r="264" customFormat="false" ht="23.25" hidden="false" customHeight="false" outlineLevel="0" collapsed="false">
      <c r="B264" s="86" t="s">
        <v>60</v>
      </c>
      <c r="C264" s="86"/>
      <c r="D264" s="86"/>
      <c r="E264" s="86"/>
      <c r="F264" s="86"/>
      <c r="G264" s="86"/>
      <c r="H264" s="86"/>
      <c r="AB264" s="87" t="s">
        <v>129</v>
      </c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</row>
  </sheetData>
  <mergeCells count="44">
    <mergeCell ref="AE1:AM1"/>
    <mergeCell ref="AC2:AM2"/>
    <mergeCell ref="A13:AM13"/>
    <mergeCell ref="A19:A22"/>
    <mergeCell ref="B19:B22"/>
    <mergeCell ref="C19:C22"/>
    <mergeCell ref="D19:D22"/>
    <mergeCell ref="E19:E22"/>
    <mergeCell ref="F19:F22"/>
    <mergeCell ref="G19:AH19"/>
    <mergeCell ref="AI19:AI22"/>
    <mergeCell ref="AJ19:AJ22"/>
    <mergeCell ref="AK19:AK22"/>
    <mergeCell ref="AL19:AL22"/>
    <mergeCell ref="AM19:AM22"/>
    <mergeCell ref="G20:T20"/>
    <mergeCell ref="U20:AH20"/>
    <mergeCell ref="G21:G22"/>
    <mergeCell ref="H21:H22"/>
    <mergeCell ref="I21:J21"/>
    <mergeCell ref="K21:L21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X21"/>
    <mergeCell ref="Y21:Z21"/>
    <mergeCell ref="AA21:AA22"/>
    <mergeCell ref="AB21:AB22"/>
    <mergeCell ref="AC21:AC22"/>
    <mergeCell ref="AD21:AD22"/>
    <mergeCell ref="AE21:AE22"/>
    <mergeCell ref="AF21:AF22"/>
    <mergeCell ref="AG21:AG22"/>
    <mergeCell ref="AH21:AH22"/>
    <mergeCell ref="B261:AM261"/>
    <mergeCell ref="B264:H264"/>
    <mergeCell ref="AB264:AM264"/>
  </mergeCells>
  <printOptions headings="false" gridLines="false" gridLinesSet="true" horizontalCentered="false" verticalCentered="false"/>
  <pageMargins left="0.490277777777778" right="0.470138888888889" top="0.359722222222222" bottom="0.196527777777778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599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/>
  <dc:description/>
  <dc:language>ru-RU</dc:language>
  <cp:lastModifiedBy/>
  <dcterms:modified xsi:type="dcterms:W3CDTF">2026-07-23T21:14:50Z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